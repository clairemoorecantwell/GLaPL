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re-cantwell\GLaPL\manual\manual_examples\"/>
    </mc:Choice>
  </mc:AlternateContent>
  <xr:revisionPtr revIDLastSave="0" documentId="13_ncr:1_{1E7F124D-8694-4983-88E6-9AA3426C6841}" xr6:coauthVersionLast="47" xr6:coauthVersionMax="47" xr10:uidLastSave="{00000000-0000-0000-0000-000000000000}"/>
  <bookViews>
    <workbookView xWindow="60" yWindow="540" windowWidth="22704" windowHeight="12900" tabRatio="500" activeTab="2" xr2:uid="{00000000-000D-0000-FFFF-FFFF00000000}"/>
  </bookViews>
  <sheets>
    <sheet name="One_UR" sheetId="1" r:id="rId1"/>
    <sheet name="Simple_Listing" sheetId="2" r:id="rId2"/>
    <sheet name="URCs_notes" sheetId="6" r:id="rId3"/>
    <sheet name="URCs" sheetId="3" r:id="rId4"/>
    <sheet name="RST" sheetId="4" r:id="rId5"/>
    <sheet name="Indexed_Cs" sheetId="5" r:id="rId6"/>
  </sheets>
  <definedNames>
    <definedName name="solver_adj" localSheetId="5" hidden="1">Indexed_Cs!$F$4:$Z$4</definedName>
    <definedName name="solver_adj" localSheetId="0" hidden="1">One_UR!$F$4:$H$4</definedName>
    <definedName name="solver_adj" localSheetId="4" hidden="1">RST!$F$4:$AE$4</definedName>
    <definedName name="solver_adj" localSheetId="1" hidden="1">Simple_Listing!$F$4:$H$4</definedName>
    <definedName name="solver_adj" localSheetId="3" hidden="1">URCs!$F$4:$T$4</definedName>
    <definedName name="solver_cvg" localSheetId="5" hidden="1">0.0001</definedName>
    <definedName name="solver_cvg" localSheetId="0" hidden="1">0.0001</definedName>
    <definedName name="solver_cvg" localSheetId="4" hidden="1">0.0001</definedName>
    <definedName name="solver_cvg" localSheetId="1" hidden="1">0.0001</definedName>
    <definedName name="solver_cvg" localSheetId="3" hidden="1">0.0001</definedName>
    <definedName name="solver_drv" localSheetId="5" hidden="1">1</definedName>
    <definedName name="solver_drv" localSheetId="0" hidden="1">1</definedName>
    <definedName name="solver_drv" localSheetId="4" hidden="1">1</definedName>
    <definedName name="solver_drv" localSheetId="1" hidden="1">1</definedName>
    <definedName name="solver_drv" localSheetId="3" hidden="1">1</definedName>
    <definedName name="solver_eng" localSheetId="5" hidden="1">3</definedName>
    <definedName name="solver_eng" localSheetId="0" hidden="1">1</definedName>
    <definedName name="solver_eng" localSheetId="4" hidden="1">1</definedName>
    <definedName name="solver_eng" localSheetId="1" hidden="1">1</definedName>
    <definedName name="solver_eng" localSheetId="3" hidden="1">1</definedName>
    <definedName name="solver_est" localSheetId="5" hidden="1">1</definedName>
    <definedName name="solver_est" localSheetId="0" hidden="1">1</definedName>
    <definedName name="solver_est" localSheetId="4" hidden="1">1</definedName>
    <definedName name="solver_est" localSheetId="1" hidden="1">1</definedName>
    <definedName name="solver_est" localSheetId="3" hidden="1">1</definedName>
    <definedName name="solver_itr" localSheetId="5" hidden="1">2147483647</definedName>
    <definedName name="solver_itr" localSheetId="0" hidden="1">2147483647</definedName>
    <definedName name="solver_itr" localSheetId="4" hidden="1">2147483647</definedName>
    <definedName name="solver_itr" localSheetId="1" hidden="1">2147483647</definedName>
    <definedName name="solver_itr" localSheetId="3" hidden="1">2147483647</definedName>
    <definedName name="solver_lhs1" localSheetId="5" hidden="1">Indexed_Cs!$F$4:$Z$4</definedName>
    <definedName name="solver_lhs1" localSheetId="3" hidden="1">URCs!$F$4:$T$4</definedName>
    <definedName name="solver_lhs2" localSheetId="3" hidden="1">URCs!$F$4:$T$4</definedName>
    <definedName name="solver_mip" localSheetId="5" hidden="1">2147483647</definedName>
    <definedName name="solver_mip" localSheetId="0" hidden="1">2147483647</definedName>
    <definedName name="solver_mip" localSheetId="4" hidden="1">2147483647</definedName>
    <definedName name="solver_mip" localSheetId="1" hidden="1">2147483647</definedName>
    <definedName name="solver_mip" localSheetId="3" hidden="1">2147483647</definedName>
    <definedName name="solver_mni" localSheetId="5" hidden="1">30</definedName>
    <definedName name="solver_mni" localSheetId="0" hidden="1">30</definedName>
    <definedName name="solver_mni" localSheetId="4" hidden="1">30</definedName>
    <definedName name="solver_mni" localSheetId="1" hidden="1">30</definedName>
    <definedName name="solver_mni" localSheetId="3" hidden="1">30</definedName>
    <definedName name="solver_mrt" localSheetId="5" hidden="1">0.075</definedName>
    <definedName name="solver_mrt" localSheetId="0" hidden="1">0.075</definedName>
    <definedName name="solver_mrt" localSheetId="4" hidden="1">0.075</definedName>
    <definedName name="solver_mrt" localSheetId="1" hidden="1">0.075</definedName>
    <definedName name="solver_mrt" localSheetId="3" hidden="1">0.075</definedName>
    <definedName name="solver_msl" localSheetId="5" hidden="1">2</definedName>
    <definedName name="solver_msl" localSheetId="0" hidden="1">2</definedName>
    <definedName name="solver_msl" localSheetId="4" hidden="1">2</definedName>
    <definedName name="solver_msl" localSheetId="1" hidden="1">2</definedName>
    <definedName name="solver_msl" localSheetId="3" hidden="1">2</definedName>
    <definedName name="solver_neg" localSheetId="5" hidden="1">1</definedName>
    <definedName name="solver_neg" localSheetId="0" hidden="1">1</definedName>
    <definedName name="solver_neg" localSheetId="4" hidden="1">1</definedName>
    <definedName name="solver_neg" localSheetId="1" hidden="1">1</definedName>
    <definedName name="solver_neg" localSheetId="3" hidden="1">1</definedName>
    <definedName name="solver_nod" localSheetId="5" hidden="1">2147483647</definedName>
    <definedName name="solver_nod" localSheetId="0" hidden="1">2147483647</definedName>
    <definedName name="solver_nod" localSheetId="4" hidden="1">2147483647</definedName>
    <definedName name="solver_nod" localSheetId="1" hidden="1">2147483647</definedName>
    <definedName name="solver_nod" localSheetId="3" hidden="1">2147483647</definedName>
    <definedName name="solver_num" localSheetId="5" hidden="1">1</definedName>
    <definedName name="solver_num" localSheetId="0" hidden="1">0</definedName>
    <definedName name="solver_num" localSheetId="4" hidden="1">0</definedName>
    <definedName name="solver_num" localSheetId="1" hidden="1">0</definedName>
    <definedName name="solver_num" localSheetId="3" hidden="1">2</definedName>
    <definedName name="solver_nwt" localSheetId="5" hidden="1">1</definedName>
    <definedName name="solver_nwt" localSheetId="0" hidden="1">1</definedName>
    <definedName name="solver_nwt" localSheetId="4" hidden="1">1</definedName>
    <definedName name="solver_nwt" localSheetId="1" hidden="1">1</definedName>
    <definedName name="solver_nwt" localSheetId="3" hidden="1">1</definedName>
    <definedName name="solver_opt" localSheetId="5" hidden="1">Indexed_Cs!$AE$4</definedName>
    <definedName name="solver_opt" localSheetId="0" hidden="1">One_UR!$M$4</definedName>
    <definedName name="solver_opt" localSheetId="4" hidden="1">RST!$AJ$4</definedName>
    <definedName name="solver_opt" localSheetId="1" hidden="1">Simple_Listing!$N$4</definedName>
    <definedName name="solver_opt" localSheetId="3" hidden="1">URCs!$AB$4</definedName>
    <definedName name="solver_pre" localSheetId="5" hidden="1">0.000001</definedName>
    <definedName name="solver_pre" localSheetId="0" hidden="1">0.000001</definedName>
    <definedName name="solver_pre" localSheetId="4" hidden="1">0.000001</definedName>
    <definedName name="solver_pre" localSheetId="1" hidden="1">0.000001</definedName>
    <definedName name="solver_pre" localSheetId="3" hidden="1">0.000001</definedName>
    <definedName name="solver_rbv" localSheetId="5" hidden="1">1</definedName>
    <definedName name="solver_rbv" localSheetId="0" hidden="1">1</definedName>
    <definedName name="solver_rbv" localSheetId="4" hidden="1">1</definedName>
    <definedName name="solver_rbv" localSheetId="1" hidden="1">1</definedName>
    <definedName name="solver_rbv" localSheetId="3" hidden="1">1</definedName>
    <definedName name="solver_rel1" localSheetId="5" hidden="1">1</definedName>
    <definedName name="solver_rel1" localSheetId="3" hidden="1">1</definedName>
    <definedName name="solver_rel2" localSheetId="3" hidden="1">3</definedName>
    <definedName name="solver_rhs1" localSheetId="5" hidden="1">50</definedName>
    <definedName name="solver_rhs1" localSheetId="3" hidden="1">50</definedName>
    <definedName name="solver_rhs2" localSheetId="3" hidden="1">0</definedName>
    <definedName name="solver_rlx" localSheetId="5" hidden="1">2</definedName>
    <definedName name="solver_rlx" localSheetId="0" hidden="1">2</definedName>
    <definedName name="solver_rlx" localSheetId="4" hidden="1">2</definedName>
    <definedName name="solver_rlx" localSheetId="1" hidden="1">2</definedName>
    <definedName name="solver_rlx" localSheetId="3" hidden="1">2</definedName>
    <definedName name="solver_rsd" localSheetId="5" hidden="1">0</definedName>
    <definedName name="solver_rsd" localSheetId="0" hidden="1">0</definedName>
    <definedName name="solver_rsd" localSheetId="4" hidden="1">0</definedName>
    <definedName name="solver_rsd" localSheetId="1" hidden="1">0</definedName>
    <definedName name="solver_rsd" localSheetId="3" hidden="1">0</definedName>
    <definedName name="solver_scl" localSheetId="5" hidden="1">1</definedName>
    <definedName name="solver_scl" localSheetId="0" hidden="1">1</definedName>
    <definedName name="solver_scl" localSheetId="4" hidden="1">1</definedName>
    <definedName name="solver_scl" localSheetId="1" hidden="1">1</definedName>
    <definedName name="solver_scl" localSheetId="3" hidden="1">1</definedName>
    <definedName name="solver_sho" localSheetId="5" hidden="1">2</definedName>
    <definedName name="solver_sho" localSheetId="0" hidden="1">2</definedName>
    <definedName name="solver_sho" localSheetId="4" hidden="1">2</definedName>
    <definedName name="solver_sho" localSheetId="1" hidden="1">2</definedName>
    <definedName name="solver_sho" localSheetId="3" hidden="1">2</definedName>
    <definedName name="solver_ssz" localSheetId="5" hidden="1">100</definedName>
    <definedName name="solver_ssz" localSheetId="0" hidden="1">100</definedName>
    <definedName name="solver_ssz" localSheetId="4" hidden="1">100</definedName>
    <definedName name="solver_ssz" localSheetId="1" hidden="1">100</definedName>
    <definedName name="solver_ssz" localSheetId="3" hidden="1">100</definedName>
    <definedName name="solver_tim" localSheetId="5" hidden="1">2147483647</definedName>
    <definedName name="solver_tim" localSheetId="0" hidden="1">2147483647</definedName>
    <definedName name="solver_tim" localSheetId="4" hidden="1">2147483647</definedName>
    <definedName name="solver_tim" localSheetId="1" hidden="1">2147483647</definedName>
    <definedName name="solver_tim" localSheetId="3" hidden="1">2147483647</definedName>
    <definedName name="solver_tol" localSheetId="5" hidden="1">0.01</definedName>
    <definedName name="solver_tol" localSheetId="0" hidden="1">0.01</definedName>
    <definedName name="solver_tol" localSheetId="4" hidden="1">0.01</definedName>
    <definedName name="solver_tol" localSheetId="1" hidden="1">0.01</definedName>
    <definedName name="solver_tol" localSheetId="3" hidden="1">0.01</definedName>
    <definedName name="solver_typ" localSheetId="5" hidden="1">1</definedName>
    <definedName name="solver_typ" localSheetId="0" hidden="1">1</definedName>
    <definedName name="solver_typ" localSheetId="4" hidden="1">1</definedName>
    <definedName name="solver_typ" localSheetId="1" hidden="1">1</definedName>
    <definedName name="solver_typ" localSheetId="3" hidden="1">1</definedName>
    <definedName name="solver_val" localSheetId="5" hidden="1">0</definedName>
    <definedName name="solver_val" localSheetId="0" hidden="1">0</definedName>
    <definedName name="solver_val" localSheetId="4" hidden="1">0</definedName>
    <definedName name="solver_val" localSheetId="1" hidden="1">0</definedName>
    <definedName name="solver_val" localSheetId="3" hidden="1">0</definedName>
    <definedName name="solver_ver" localSheetId="5" hidden="1">3</definedName>
    <definedName name="solver_ver" localSheetId="0" hidden="1">3</definedName>
    <definedName name="solver_ver" localSheetId="4" hidden="1">3</definedName>
    <definedName name="solver_ver" localSheetId="1" hidden="1">3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" i="4" l="1"/>
  <c r="G2" i="4" s="1"/>
  <c r="H3" i="4"/>
  <c r="H2" i="4" s="1"/>
  <c r="I3" i="4"/>
  <c r="I2" i="4" s="1"/>
  <c r="J3" i="4"/>
  <c r="J2" i="4" s="1"/>
  <c r="K3" i="4"/>
  <c r="K2" i="4" s="1"/>
  <c r="L3" i="4"/>
  <c r="L2" i="4" s="1"/>
  <c r="M3" i="4"/>
  <c r="M2" i="4" s="1"/>
  <c r="N3" i="4"/>
  <c r="N2" i="4" s="1"/>
  <c r="O3" i="4"/>
  <c r="O2" i="4" s="1"/>
  <c r="P3" i="4"/>
  <c r="P2" i="4" s="1"/>
  <c r="Q3" i="4"/>
  <c r="Q2" i="4" s="1"/>
  <c r="R3" i="4"/>
  <c r="R2" i="4" s="1"/>
  <c r="S3" i="4"/>
  <c r="S2" i="4" s="1"/>
  <c r="T3" i="4"/>
  <c r="T2" i="4" s="1"/>
  <c r="U3" i="4"/>
  <c r="U2" i="4" s="1"/>
  <c r="V3" i="4"/>
  <c r="V2" i="4" s="1"/>
  <c r="W3" i="4"/>
  <c r="W2" i="4" s="1"/>
  <c r="X3" i="4"/>
  <c r="X2" i="4" s="1"/>
  <c r="Y3" i="4"/>
  <c r="Y2" i="4" s="1"/>
  <c r="Z3" i="4"/>
  <c r="Z2" i="4" s="1"/>
  <c r="AA3" i="4"/>
  <c r="AA2" i="4" s="1"/>
  <c r="AB3" i="4"/>
  <c r="AB2" i="4" s="1"/>
  <c r="AC3" i="4"/>
  <c r="AC2" i="4" s="1"/>
  <c r="AD3" i="4"/>
  <c r="AD2" i="4" s="1"/>
  <c r="AE3" i="4"/>
  <c r="AE2" i="4" s="1"/>
  <c r="AG8" i="4"/>
  <c r="AH8" i="4" s="1"/>
  <c r="AG9" i="4"/>
  <c r="AH9" i="4" s="1"/>
  <c r="AG10" i="4"/>
  <c r="AH10" i="4" s="1"/>
  <c r="AG11" i="4"/>
  <c r="AH11" i="4" s="1"/>
  <c r="AG12" i="4"/>
  <c r="AH12" i="4" s="1"/>
  <c r="AG13" i="4"/>
  <c r="AH13" i="4" s="1"/>
  <c r="AG14" i="4"/>
  <c r="AH14" i="4" s="1"/>
  <c r="AG15" i="4"/>
  <c r="AH15" i="4" s="1"/>
  <c r="AG16" i="4"/>
  <c r="AH16" i="4" s="1"/>
  <c r="AG17" i="4"/>
  <c r="AH17" i="4" s="1"/>
  <c r="AG19" i="4"/>
  <c r="AH19" i="4" s="1"/>
  <c r="AG20" i="4"/>
  <c r="AH20" i="4" s="1"/>
  <c r="AG21" i="4"/>
  <c r="AH21" i="4" s="1"/>
  <c r="AG22" i="4"/>
  <c r="AH22" i="4" s="1"/>
  <c r="AG23" i="4"/>
  <c r="AH23" i="4" s="1"/>
  <c r="AG24" i="4"/>
  <c r="AH24" i="4" s="1"/>
  <c r="AG25" i="4"/>
  <c r="AH25" i="4" s="1"/>
  <c r="AG26" i="4"/>
  <c r="AH26" i="4" s="1"/>
  <c r="AG27" i="4"/>
  <c r="AH27" i="4" s="1"/>
  <c r="AG28" i="4"/>
  <c r="AH28" i="4" s="1"/>
  <c r="AG29" i="4"/>
  <c r="AH29" i="4" s="1"/>
  <c r="AG30" i="4"/>
  <c r="AH30" i="4" s="1"/>
  <c r="AG31" i="4"/>
  <c r="AH31" i="4" s="1"/>
  <c r="AG32" i="4"/>
  <c r="AH32" i="4" s="1"/>
  <c r="AG33" i="4"/>
  <c r="AH33" i="4" s="1"/>
  <c r="AG34" i="4"/>
  <c r="AH34" i="4" s="1"/>
  <c r="AG35" i="4"/>
  <c r="AH35" i="4" s="1"/>
  <c r="AG36" i="4"/>
  <c r="AH36" i="4" s="1"/>
  <c r="AG38" i="4"/>
  <c r="AH38" i="4" s="1"/>
  <c r="AG39" i="4"/>
  <c r="AH39" i="4" s="1"/>
  <c r="AG40" i="4"/>
  <c r="AH40" i="4" s="1"/>
  <c r="AG42" i="4"/>
  <c r="AH42" i="4" s="1"/>
  <c r="AB9" i="3"/>
  <c r="AB10" i="3"/>
  <c r="AB13" i="3"/>
  <c r="AB14" i="3"/>
  <c r="AB17" i="3"/>
  <c r="AB18" i="3"/>
  <c r="AB21" i="3"/>
  <c r="AB22" i="3"/>
  <c r="AB25" i="3"/>
  <c r="AB26" i="3"/>
  <c r="AB29" i="3"/>
  <c r="AB30" i="3"/>
  <c r="AB33" i="3"/>
  <c r="AB34" i="3"/>
  <c r="AB37" i="3"/>
  <c r="AB38" i="3"/>
  <c r="AB41" i="3"/>
  <c r="AB42" i="3"/>
  <c r="AB45" i="3"/>
  <c r="AB46" i="3"/>
  <c r="AB49" i="3"/>
  <c r="AB50" i="3"/>
  <c r="AB53" i="3"/>
  <c r="AB54" i="3"/>
  <c r="V52" i="3"/>
  <c r="V51" i="3"/>
  <c r="W51" i="3" s="1"/>
  <c r="V48" i="3"/>
  <c r="W48" i="3" s="1"/>
  <c r="V47" i="3"/>
  <c r="V44" i="3"/>
  <c r="W44" i="3" s="1"/>
  <c r="V43" i="3"/>
  <c r="W43" i="3" s="1"/>
  <c r="V40" i="3"/>
  <c r="V39" i="3"/>
  <c r="W39" i="3" s="1"/>
  <c r="V36" i="3"/>
  <c r="V35" i="3"/>
  <c r="W35" i="3" s="1"/>
  <c r="V32" i="3"/>
  <c r="W32" i="3" s="1"/>
  <c r="V31" i="3"/>
  <c r="V28" i="3"/>
  <c r="V27" i="3"/>
  <c r="W27" i="3" s="1"/>
  <c r="V24" i="3"/>
  <c r="W24" i="3" s="1"/>
  <c r="V23" i="3"/>
  <c r="W23" i="3" s="1"/>
  <c r="V20" i="3"/>
  <c r="V19" i="3"/>
  <c r="W19" i="3" s="1"/>
  <c r="V16" i="3"/>
  <c r="V15" i="3"/>
  <c r="W15" i="3" s="1"/>
  <c r="V12" i="3"/>
  <c r="W12" i="3" s="1"/>
  <c r="V11" i="3"/>
  <c r="W8" i="3"/>
  <c r="W7" i="3"/>
  <c r="V8" i="3"/>
  <c r="V7" i="3"/>
  <c r="Z30" i="5"/>
  <c r="T30" i="5"/>
  <c r="N30" i="5"/>
  <c r="AB30" i="5" s="1"/>
  <c r="AC30" i="5" s="1"/>
  <c r="Z29" i="5"/>
  <c r="T29" i="5"/>
  <c r="AB29" i="5" s="1"/>
  <c r="AC29" i="5" s="1"/>
  <c r="N29" i="5"/>
  <c r="Z28" i="5"/>
  <c r="AB28" i="5" s="1"/>
  <c r="AC28" i="5" s="1"/>
  <c r="T28" i="5"/>
  <c r="N28" i="5"/>
  <c r="Z27" i="5"/>
  <c r="T27" i="5"/>
  <c r="N27" i="5"/>
  <c r="AB27" i="5" s="1"/>
  <c r="AC27" i="5" s="1"/>
  <c r="Y26" i="5"/>
  <c r="S26" i="5"/>
  <c r="M26" i="5"/>
  <c r="AB26" i="5" s="1"/>
  <c r="AC26" i="5" s="1"/>
  <c r="Y25" i="5"/>
  <c r="S25" i="5"/>
  <c r="M25" i="5"/>
  <c r="AB24" i="5"/>
  <c r="AC24" i="5" s="1"/>
  <c r="Y24" i="5"/>
  <c r="S24" i="5"/>
  <c r="M24" i="5"/>
  <c r="Y23" i="5"/>
  <c r="S23" i="5"/>
  <c r="M23" i="5"/>
  <c r="AB23" i="5" s="1"/>
  <c r="AC23" i="5" s="1"/>
  <c r="X22" i="5"/>
  <c r="R22" i="5"/>
  <c r="AB22" i="5" s="1"/>
  <c r="AC22" i="5" s="1"/>
  <c r="L22" i="5"/>
  <c r="X21" i="5"/>
  <c r="R21" i="5"/>
  <c r="L21" i="5"/>
  <c r="X20" i="5"/>
  <c r="R20" i="5"/>
  <c r="L20" i="5"/>
  <c r="X19" i="5"/>
  <c r="R19" i="5"/>
  <c r="L19" i="5"/>
  <c r="AB18" i="5"/>
  <c r="AC18" i="5" s="1"/>
  <c r="W18" i="5"/>
  <c r="Q18" i="5"/>
  <c r="K18" i="5"/>
  <c r="W17" i="5"/>
  <c r="Q17" i="5"/>
  <c r="K17" i="5"/>
  <c r="W16" i="5"/>
  <c r="Q16" i="5"/>
  <c r="K16" i="5"/>
  <c r="W15" i="5"/>
  <c r="Q15" i="5"/>
  <c r="K15" i="5"/>
  <c r="AB15" i="5" s="1"/>
  <c r="AC15" i="5" s="1"/>
  <c r="V14" i="5"/>
  <c r="P14" i="5"/>
  <c r="J14" i="5"/>
  <c r="V13" i="5"/>
  <c r="P13" i="5"/>
  <c r="J13" i="5"/>
  <c r="V12" i="5"/>
  <c r="P12" i="5"/>
  <c r="J12" i="5"/>
  <c r="AB12" i="5" s="1"/>
  <c r="AC12" i="5" s="1"/>
  <c r="V11" i="5"/>
  <c r="P11" i="5"/>
  <c r="J11" i="5"/>
  <c r="U10" i="5"/>
  <c r="O10" i="5"/>
  <c r="I10" i="5"/>
  <c r="U9" i="5"/>
  <c r="O9" i="5"/>
  <c r="I9" i="5"/>
  <c r="AB9" i="5" s="1"/>
  <c r="AC9" i="5" s="1"/>
  <c r="U8" i="5"/>
  <c r="O8" i="5"/>
  <c r="I8" i="5"/>
  <c r="U7" i="5"/>
  <c r="O7" i="5"/>
  <c r="I7" i="5"/>
  <c r="AB7" i="5" s="1"/>
  <c r="AC7" i="5" s="1"/>
  <c r="Z3" i="5"/>
  <c r="Z2" i="5" s="1"/>
  <c r="Y3" i="5"/>
  <c r="Y2" i="5" s="1"/>
  <c r="X3" i="5"/>
  <c r="X2" i="5" s="1"/>
  <c r="W3" i="5"/>
  <c r="W2" i="5" s="1"/>
  <c r="V3" i="5"/>
  <c r="V2" i="5" s="1"/>
  <c r="U3" i="5"/>
  <c r="U2" i="5" s="1"/>
  <c r="T3" i="5"/>
  <c r="T2" i="5" s="1"/>
  <c r="S3" i="5"/>
  <c r="S2" i="5" s="1"/>
  <c r="R3" i="5"/>
  <c r="R2" i="5" s="1"/>
  <c r="Q3" i="5"/>
  <c r="Q2" i="5" s="1"/>
  <c r="P3" i="5"/>
  <c r="P2" i="5" s="1"/>
  <c r="O3" i="5"/>
  <c r="O2" i="5" s="1"/>
  <c r="N3" i="5"/>
  <c r="N2" i="5" s="1"/>
  <c r="M3" i="5"/>
  <c r="M2" i="5" s="1"/>
  <c r="L3" i="5"/>
  <c r="L2" i="5" s="1"/>
  <c r="K3" i="5"/>
  <c r="K2" i="5" s="1"/>
  <c r="J3" i="5"/>
  <c r="J2" i="5" s="1"/>
  <c r="I3" i="5"/>
  <c r="I2" i="5" s="1"/>
  <c r="H3" i="5"/>
  <c r="H2" i="5" s="1"/>
  <c r="G3" i="5"/>
  <c r="F3" i="5"/>
  <c r="F2" i="5" s="1"/>
  <c r="AE42" i="4"/>
  <c r="AE41" i="4"/>
  <c r="AG41" i="4" s="1"/>
  <c r="AH41" i="4" s="1"/>
  <c r="AE37" i="4"/>
  <c r="AG37" i="4" s="1"/>
  <c r="AH37" i="4" s="1"/>
  <c r="O18" i="4"/>
  <c r="AG18" i="4" s="1"/>
  <c r="AH18" i="4" s="1"/>
  <c r="AG7" i="4"/>
  <c r="AH7" i="4" s="1"/>
  <c r="F3" i="4"/>
  <c r="F2" i="4" s="1"/>
  <c r="X54" i="3"/>
  <c r="Y54" i="3" s="1"/>
  <c r="X53" i="3"/>
  <c r="Y53" i="3" s="1"/>
  <c r="X52" i="3"/>
  <c r="Y52" i="3" s="1"/>
  <c r="X51" i="3"/>
  <c r="Y51" i="3" s="1"/>
  <c r="X50" i="3"/>
  <c r="Y50" i="3" s="1"/>
  <c r="X49" i="3"/>
  <c r="Y49" i="3" s="1"/>
  <c r="X48" i="3"/>
  <c r="Y48" i="3" s="1"/>
  <c r="X47" i="3"/>
  <c r="Y47" i="3" s="1"/>
  <c r="X46" i="3"/>
  <c r="Y46" i="3" s="1"/>
  <c r="X45" i="3"/>
  <c r="Y45" i="3" s="1"/>
  <c r="X44" i="3"/>
  <c r="Y44" i="3" s="1"/>
  <c r="X43" i="3"/>
  <c r="Y43" i="3" s="1"/>
  <c r="X42" i="3"/>
  <c r="Y42" i="3" s="1"/>
  <c r="X41" i="3"/>
  <c r="Y41" i="3" s="1"/>
  <c r="X40" i="3"/>
  <c r="Y40" i="3" s="1"/>
  <c r="X39" i="3"/>
  <c r="Y39" i="3" s="1"/>
  <c r="X38" i="3"/>
  <c r="Y38" i="3" s="1"/>
  <c r="X37" i="3"/>
  <c r="Y37" i="3" s="1"/>
  <c r="X36" i="3"/>
  <c r="Y36" i="3" s="1"/>
  <c r="X35" i="3"/>
  <c r="Y35" i="3" s="1"/>
  <c r="X34" i="3"/>
  <c r="Y34" i="3" s="1"/>
  <c r="X33" i="3"/>
  <c r="Y33" i="3" s="1"/>
  <c r="X32" i="3"/>
  <c r="Y32" i="3" s="1"/>
  <c r="X31" i="3"/>
  <c r="Y31" i="3" s="1"/>
  <c r="X30" i="3"/>
  <c r="Y30" i="3" s="1"/>
  <c r="X29" i="3"/>
  <c r="Y29" i="3" s="1"/>
  <c r="X28" i="3"/>
  <c r="Y28" i="3" s="1"/>
  <c r="X27" i="3"/>
  <c r="Y27" i="3" s="1"/>
  <c r="X26" i="3"/>
  <c r="Y26" i="3" s="1"/>
  <c r="X25" i="3"/>
  <c r="Y25" i="3" s="1"/>
  <c r="X24" i="3"/>
  <c r="Y24" i="3" s="1"/>
  <c r="X23" i="3"/>
  <c r="Y23" i="3" s="1"/>
  <c r="X22" i="3"/>
  <c r="Y22" i="3" s="1"/>
  <c r="X21" i="3"/>
  <c r="Y21" i="3" s="1"/>
  <c r="X20" i="3"/>
  <c r="Y20" i="3" s="1"/>
  <c r="X19" i="3"/>
  <c r="Y19" i="3" s="1"/>
  <c r="X18" i="3"/>
  <c r="Y18" i="3" s="1"/>
  <c r="X17" i="3"/>
  <c r="Y17" i="3" s="1"/>
  <c r="X16" i="3"/>
  <c r="Y16" i="3" s="1"/>
  <c r="X15" i="3"/>
  <c r="Y15" i="3" s="1"/>
  <c r="X14" i="3"/>
  <c r="Y14" i="3" s="1"/>
  <c r="X13" i="3"/>
  <c r="Y13" i="3" s="1"/>
  <c r="X12" i="3"/>
  <c r="Y12" i="3" s="1"/>
  <c r="X11" i="3"/>
  <c r="Y11" i="3" s="1"/>
  <c r="X10" i="3"/>
  <c r="Y10" i="3" s="1"/>
  <c r="X9" i="3"/>
  <c r="Y9" i="3" s="1"/>
  <c r="X8" i="3"/>
  <c r="Y8" i="3" s="1"/>
  <c r="X7" i="3"/>
  <c r="Y7" i="3" s="1"/>
  <c r="T3" i="3"/>
  <c r="T2" i="3" s="1"/>
  <c r="S3" i="3"/>
  <c r="S2" i="3" s="1"/>
  <c r="R3" i="3"/>
  <c r="R2" i="3" s="1"/>
  <c r="Q3" i="3"/>
  <c r="Q2" i="3" s="1"/>
  <c r="P3" i="3"/>
  <c r="P2" i="3" s="1"/>
  <c r="O3" i="3"/>
  <c r="O2" i="3" s="1"/>
  <c r="N3" i="3"/>
  <c r="N2" i="3" s="1"/>
  <c r="M3" i="3"/>
  <c r="M2" i="3" s="1"/>
  <c r="L3" i="3"/>
  <c r="L2" i="3" s="1"/>
  <c r="K3" i="3"/>
  <c r="K2" i="3" s="1"/>
  <c r="J3" i="3"/>
  <c r="J2" i="3" s="1"/>
  <c r="I3" i="3"/>
  <c r="I2" i="3" s="1"/>
  <c r="H3" i="3"/>
  <c r="H2" i="3" s="1"/>
  <c r="G3" i="3"/>
  <c r="G2" i="3" s="1"/>
  <c r="F3" i="3"/>
  <c r="F2" i="3" s="1"/>
  <c r="I4" i="2"/>
  <c r="K28" i="2" s="1"/>
  <c r="L28" i="2" s="1"/>
  <c r="H3" i="2"/>
  <c r="H2" i="2" s="1"/>
  <c r="G3" i="2"/>
  <c r="G2" i="2" s="1"/>
  <c r="F3" i="2"/>
  <c r="F2" i="2" s="1"/>
  <c r="J40" i="1"/>
  <c r="K40" i="1" s="1"/>
  <c r="J39" i="1"/>
  <c r="K39" i="1" s="1"/>
  <c r="J38" i="1"/>
  <c r="K38" i="1" s="1"/>
  <c r="J37" i="1"/>
  <c r="K37" i="1" s="1"/>
  <c r="L37" i="1" s="1"/>
  <c r="J36" i="1"/>
  <c r="K36" i="1" s="1"/>
  <c r="J35" i="1"/>
  <c r="K35" i="1" s="1"/>
  <c r="J34" i="1"/>
  <c r="K34" i="1" s="1"/>
  <c r="J33" i="1"/>
  <c r="K33" i="1" s="1"/>
  <c r="L33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H3" i="1"/>
  <c r="H2" i="1" s="1"/>
  <c r="G3" i="1"/>
  <c r="G2" i="1" s="1"/>
  <c r="F3" i="1"/>
  <c r="L34" i="1" l="1"/>
  <c r="AB13" i="5"/>
  <c r="AC13" i="5" s="1"/>
  <c r="AB17" i="5"/>
  <c r="AC17" i="5" s="1"/>
  <c r="AD17" i="5" s="1"/>
  <c r="AE17" i="5" s="1"/>
  <c r="W16" i="3"/>
  <c r="W36" i="3"/>
  <c r="AB8" i="5"/>
  <c r="AC8" i="5" s="1"/>
  <c r="AB16" i="5"/>
  <c r="AC16" i="5" s="1"/>
  <c r="AD15" i="5" s="1"/>
  <c r="AE15" i="5" s="1"/>
  <c r="AB20" i="5"/>
  <c r="AC20" i="5" s="1"/>
  <c r="W20" i="3"/>
  <c r="W40" i="3"/>
  <c r="AB21" i="5"/>
  <c r="AC21" i="5" s="1"/>
  <c r="AD22" i="5" s="1"/>
  <c r="AE22" i="5" s="1"/>
  <c r="AB25" i="5"/>
  <c r="AC25" i="5" s="1"/>
  <c r="AD26" i="5" s="1"/>
  <c r="AE26" i="5" s="1"/>
  <c r="W28" i="3"/>
  <c r="W47" i="3"/>
  <c r="AB10" i="5"/>
  <c r="AC10" i="5" s="1"/>
  <c r="AB14" i="5"/>
  <c r="AC14" i="5" s="1"/>
  <c r="W31" i="3"/>
  <c r="AB11" i="5"/>
  <c r="AC11" i="5" s="1"/>
  <c r="AD11" i="5" s="1"/>
  <c r="AE11" i="5" s="1"/>
  <c r="AB19" i="5"/>
  <c r="AC19" i="5" s="1"/>
  <c r="AD19" i="5" s="1"/>
  <c r="AE19" i="5" s="1"/>
  <c r="W52" i="3"/>
  <c r="AI42" i="4"/>
  <c r="AJ42" i="4" s="1"/>
  <c r="AI30" i="4"/>
  <c r="AJ30" i="4" s="1"/>
  <c r="AI24" i="4"/>
  <c r="AJ24" i="4" s="1"/>
  <c r="AI12" i="4"/>
  <c r="AJ12" i="4" s="1"/>
  <c r="AI31" i="4"/>
  <c r="AJ31" i="4" s="1"/>
  <c r="AI9" i="4"/>
  <c r="AJ9" i="4" s="1"/>
  <c r="AI40" i="4"/>
  <c r="AJ40" i="4" s="1"/>
  <c r="AI35" i="4"/>
  <c r="AJ35" i="4" s="1"/>
  <c r="AI41" i="4"/>
  <c r="AJ41" i="4" s="1"/>
  <c r="AI23" i="4"/>
  <c r="AJ23" i="4" s="1"/>
  <c r="AI10" i="4"/>
  <c r="AJ10" i="4" s="1"/>
  <c r="AI22" i="4"/>
  <c r="AJ22" i="4" s="1"/>
  <c r="AI13" i="4"/>
  <c r="AJ13" i="4" s="1"/>
  <c r="AI26" i="4"/>
  <c r="AJ26" i="4" s="1"/>
  <c r="AI17" i="4"/>
  <c r="AJ17" i="4" s="1"/>
  <c r="AI8" i="4"/>
  <c r="AJ8" i="4" s="1"/>
  <c r="AI29" i="4"/>
  <c r="AJ29" i="4" s="1"/>
  <c r="AI21" i="4"/>
  <c r="AJ21" i="4" s="1"/>
  <c r="AI25" i="4"/>
  <c r="AJ25" i="4" s="1"/>
  <c r="AI16" i="4"/>
  <c r="AJ16" i="4" s="1"/>
  <c r="AI38" i="4"/>
  <c r="AJ38" i="4" s="1"/>
  <c r="AI33" i="4"/>
  <c r="AJ33" i="4" s="1"/>
  <c r="AI20" i="4"/>
  <c r="AJ20" i="4" s="1"/>
  <c r="AI37" i="4"/>
  <c r="AJ37" i="4" s="1"/>
  <c r="AI28" i="4"/>
  <c r="AJ28" i="4" s="1"/>
  <c r="AI19" i="4"/>
  <c r="AJ19" i="4" s="1"/>
  <c r="AI36" i="4"/>
  <c r="AJ36" i="4" s="1"/>
  <c r="AI32" i="4"/>
  <c r="AJ32" i="4" s="1"/>
  <c r="AI27" i="4"/>
  <c r="AJ27" i="4" s="1"/>
  <c r="AI18" i="4"/>
  <c r="AJ18" i="4" s="1"/>
  <c r="AI14" i="4"/>
  <c r="AJ14" i="4" s="1"/>
  <c r="AI39" i="4"/>
  <c r="AJ39" i="4" s="1"/>
  <c r="AI34" i="4"/>
  <c r="AJ34" i="4" s="1"/>
  <c r="AI15" i="4"/>
  <c r="AJ15" i="4" s="1"/>
  <c r="AI11" i="4"/>
  <c r="AJ11" i="4" s="1"/>
  <c r="AD27" i="5"/>
  <c r="AE27" i="5" s="1"/>
  <c r="AD23" i="5"/>
  <c r="AE23" i="5" s="1"/>
  <c r="AD8" i="5"/>
  <c r="AE8" i="5" s="1"/>
  <c r="AD13" i="5"/>
  <c r="AE13" i="5" s="1"/>
  <c r="AD29" i="5"/>
  <c r="AE29" i="5" s="1"/>
  <c r="AD30" i="5"/>
  <c r="AE30" i="5" s="1"/>
  <c r="AD9" i="5"/>
  <c r="AE9" i="5" s="1"/>
  <c r="AE3" i="5"/>
  <c r="W11" i="3"/>
  <c r="Z39" i="3"/>
  <c r="Z29" i="3"/>
  <c r="Z25" i="3"/>
  <c r="Z36" i="3"/>
  <c r="Z31" i="3"/>
  <c r="Z37" i="3"/>
  <c r="Z48" i="3"/>
  <c r="Z30" i="3"/>
  <c r="AB2" i="3"/>
  <c r="Z32" i="3"/>
  <c r="Z9" i="3"/>
  <c r="Z21" i="3"/>
  <c r="Z28" i="3"/>
  <c r="Z43" i="3"/>
  <c r="AB3" i="3"/>
  <c r="Z16" i="3"/>
  <c r="Z40" i="3"/>
  <c r="Z41" i="3"/>
  <c r="Z13" i="3"/>
  <c r="Z23" i="3"/>
  <c r="Z52" i="3"/>
  <c r="N3" i="2"/>
  <c r="L25" i="1"/>
  <c r="M25" i="1" s="1"/>
  <c r="L11" i="1"/>
  <c r="M11" i="1" s="1"/>
  <c r="L17" i="1"/>
  <c r="M17" i="1" s="1"/>
  <c r="L20" i="1"/>
  <c r="M20" i="1" s="1"/>
  <c r="L10" i="1"/>
  <c r="M10" i="1" s="1"/>
  <c r="L23" i="1"/>
  <c r="M23" i="1" s="1"/>
  <c r="L26" i="1"/>
  <c r="M26" i="1" s="1"/>
  <c r="L22" i="1"/>
  <c r="M22" i="1" s="1"/>
  <c r="L12" i="1"/>
  <c r="M12" i="1" s="1"/>
  <c r="L8" i="1"/>
  <c r="M8" i="1" s="1"/>
  <c r="L13" i="1"/>
  <c r="M13" i="1" s="1"/>
  <c r="L29" i="1"/>
  <c r="M29" i="1" s="1"/>
  <c r="L24" i="1"/>
  <c r="M24" i="1" s="1"/>
  <c r="L14" i="1"/>
  <c r="M14" i="1" s="1"/>
  <c r="L16" i="1"/>
  <c r="M16" i="1" s="1"/>
  <c r="L28" i="1"/>
  <c r="M28" i="1" s="1"/>
  <c r="L18" i="1"/>
  <c r="M18" i="1" s="1"/>
  <c r="L30" i="1"/>
  <c r="M30" i="1" s="1"/>
  <c r="L7" i="1"/>
  <c r="M7" i="1" s="1"/>
  <c r="L19" i="1"/>
  <c r="M19" i="1" s="1"/>
  <c r="Z11" i="3"/>
  <c r="L35" i="1"/>
  <c r="L36" i="1"/>
  <c r="Z7" i="3"/>
  <c r="Z12" i="3"/>
  <c r="Z18" i="3"/>
  <c r="Z46" i="3"/>
  <c r="Z14" i="3"/>
  <c r="L38" i="1"/>
  <c r="L40" i="1"/>
  <c r="L39" i="1"/>
  <c r="Z10" i="3"/>
  <c r="Z34" i="3"/>
  <c r="K30" i="2"/>
  <c r="L30" i="2" s="1"/>
  <c r="K27" i="2"/>
  <c r="L27" i="2" s="1"/>
  <c r="M27" i="2" s="1"/>
  <c r="N27" i="2" s="1"/>
  <c r="K24" i="2"/>
  <c r="L24" i="2" s="1"/>
  <c r="K21" i="2"/>
  <c r="L21" i="2" s="1"/>
  <c r="K18" i="2"/>
  <c r="L18" i="2" s="1"/>
  <c r="K15" i="2"/>
  <c r="L15" i="2" s="1"/>
  <c r="K12" i="2"/>
  <c r="L12" i="2" s="1"/>
  <c r="K9" i="2"/>
  <c r="L9" i="2" s="1"/>
  <c r="K25" i="2"/>
  <c r="L25" i="2" s="1"/>
  <c r="K16" i="2"/>
  <c r="L16" i="2" s="1"/>
  <c r="K7" i="2"/>
  <c r="L7" i="2" s="1"/>
  <c r="K23" i="2"/>
  <c r="L23" i="2" s="1"/>
  <c r="K14" i="2"/>
  <c r="L14" i="2" s="1"/>
  <c r="K29" i="2"/>
  <c r="L29" i="2" s="1"/>
  <c r="Z27" i="3"/>
  <c r="Z54" i="3"/>
  <c r="AJ3" i="4"/>
  <c r="AJ2" i="4"/>
  <c r="K10" i="2"/>
  <c r="L10" i="2" s="1"/>
  <c r="Z35" i="3"/>
  <c r="Z49" i="3"/>
  <c r="AD24" i="5"/>
  <c r="AE24" i="5" s="1"/>
  <c r="K26" i="2"/>
  <c r="L26" i="2" s="1"/>
  <c r="Z20" i="3"/>
  <c r="K13" i="2"/>
  <c r="L13" i="2" s="1"/>
  <c r="M13" i="2" s="1"/>
  <c r="N13" i="2" s="1"/>
  <c r="K8" i="2"/>
  <c r="L8" i="2" s="1"/>
  <c r="K11" i="2"/>
  <c r="L11" i="2" s="1"/>
  <c r="Z26" i="3"/>
  <c r="Z33" i="3"/>
  <c r="Z38" i="3"/>
  <c r="Z44" i="3"/>
  <c r="AD10" i="5"/>
  <c r="AE10" i="5" s="1"/>
  <c r="L15" i="1"/>
  <c r="M15" i="1" s="1"/>
  <c r="L27" i="1"/>
  <c r="M27" i="1" s="1"/>
  <c r="K19" i="2"/>
  <c r="L19" i="2" s="1"/>
  <c r="Z17" i="3"/>
  <c r="Z19" i="3"/>
  <c r="Z24" i="3"/>
  <c r="Z47" i="3"/>
  <c r="Z50" i="3"/>
  <c r="Z53" i="3"/>
  <c r="AD7" i="5"/>
  <c r="AE7" i="5" s="1"/>
  <c r="L9" i="1"/>
  <c r="M9" i="1" s="1"/>
  <c r="L21" i="1"/>
  <c r="M21" i="1" s="1"/>
  <c r="K22" i="2"/>
  <c r="L22" i="2" s="1"/>
  <c r="M3" i="1"/>
  <c r="F2" i="1"/>
  <c r="M2" i="1" s="1"/>
  <c r="N2" i="2"/>
  <c r="K17" i="2"/>
  <c r="L17" i="2" s="1"/>
  <c r="K20" i="2"/>
  <c r="L20" i="2" s="1"/>
  <c r="Z8" i="3"/>
  <c r="Z15" i="3"/>
  <c r="Z42" i="3"/>
  <c r="G2" i="5"/>
  <c r="AE2" i="5" s="1"/>
  <c r="Z22" i="3"/>
  <c r="Z45" i="3"/>
  <c r="Z51" i="3"/>
  <c r="AD18" i="5"/>
  <c r="AE18" i="5" s="1"/>
  <c r="AD28" i="5"/>
  <c r="AE28" i="5" s="1"/>
  <c r="AD14" i="5"/>
  <c r="AE14" i="5" s="1"/>
  <c r="AD12" i="5"/>
  <c r="AE12" i="5" s="1"/>
  <c r="AD16" i="5"/>
  <c r="AE16" i="5" s="1"/>
  <c r="AD20" i="5"/>
  <c r="AE20" i="5" s="1"/>
  <c r="AD21" i="5" l="1"/>
  <c r="AE21" i="5" s="1"/>
  <c r="AE4" i="5" s="1"/>
  <c r="AD25" i="5"/>
  <c r="AE25" i="5" s="1"/>
  <c r="AA47" i="3"/>
  <c r="AB47" i="3" s="1"/>
  <c r="AA11" i="3"/>
  <c r="AB11" i="3" s="1"/>
  <c r="AA35" i="3"/>
  <c r="AB35" i="3" s="1"/>
  <c r="AA51" i="3"/>
  <c r="AB51" i="3" s="1"/>
  <c r="AA19" i="3"/>
  <c r="AB19" i="3" s="1"/>
  <c r="AA20" i="3"/>
  <c r="AB20" i="3" s="1"/>
  <c r="AA15" i="3"/>
  <c r="AB15" i="3" s="1"/>
  <c r="AA12" i="3"/>
  <c r="AB12" i="3" s="1"/>
  <c r="AA40" i="3"/>
  <c r="AB40" i="3" s="1"/>
  <c r="AA31" i="3"/>
  <c r="AB31" i="3" s="1"/>
  <c r="AA8" i="3"/>
  <c r="AB8" i="3" s="1"/>
  <c r="AA27" i="3"/>
  <c r="AB27" i="3" s="1"/>
  <c r="AA28" i="3"/>
  <c r="AB28" i="3" s="1"/>
  <c r="AA7" i="3"/>
  <c r="AB7" i="3" s="1"/>
  <c r="AA16" i="3"/>
  <c r="AB16" i="3" s="1"/>
  <c r="AA32" i="3"/>
  <c r="AB32" i="3" s="1"/>
  <c r="AA36" i="3"/>
  <c r="AB36" i="3" s="1"/>
  <c r="AA24" i="3"/>
  <c r="AB24" i="3" s="1"/>
  <c r="AA52" i="3"/>
  <c r="AB52" i="3" s="1"/>
  <c r="AA44" i="3"/>
  <c r="AB44" i="3" s="1"/>
  <c r="AA23" i="3"/>
  <c r="AB23" i="3" s="1"/>
  <c r="AA43" i="3"/>
  <c r="AB43" i="3" s="1"/>
  <c r="AA48" i="3"/>
  <c r="AB48" i="3" s="1"/>
  <c r="AA39" i="3"/>
  <c r="AB39" i="3" s="1"/>
  <c r="M29" i="2"/>
  <c r="N29" i="2" s="1"/>
  <c r="M9" i="2"/>
  <c r="N9" i="2" s="1"/>
  <c r="M20" i="2"/>
  <c r="N20" i="2" s="1"/>
  <c r="M8" i="2"/>
  <c r="N8" i="2" s="1"/>
  <c r="M16" i="2"/>
  <c r="N16" i="2" s="1"/>
  <c r="M11" i="2"/>
  <c r="N11" i="2" s="1"/>
  <c r="M17" i="2"/>
  <c r="N17" i="2" s="1"/>
  <c r="M21" i="2"/>
  <c r="N21" i="2" s="1"/>
  <c r="M25" i="2"/>
  <c r="N25" i="2" s="1"/>
  <c r="M24" i="2"/>
  <c r="N24" i="2" s="1"/>
  <c r="M12" i="2"/>
  <c r="N12" i="2" s="1"/>
  <c r="M22" i="2"/>
  <c r="N22" i="2" s="1"/>
  <c r="M7" i="2"/>
  <c r="N7" i="2" s="1"/>
  <c r="M18" i="2"/>
  <c r="N18" i="2" s="1"/>
  <c r="AI7" i="4"/>
  <c r="AJ7" i="4" s="1"/>
  <c r="M28" i="2"/>
  <c r="N28" i="2" s="1"/>
  <c r="M14" i="2"/>
  <c r="N14" i="2" s="1"/>
  <c r="M10" i="2"/>
  <c r="N10" i="2" s="1"/>
  <c r="M30" i="2"/>
  <c r="N30" i="2" s="1"/>
  <c r="M4" i="1"/>
  <c r="M19" i="2"/>
  <c r="N19" i="2" s="1"/>
  <c r="M26" i="2"/>
  <c r="N26" i="2" s="1"/>
  <c r="M23" i="2"/>
  <c r="N23" i="2" s="1"/>
  <c r="M15" i="2"/>
  <c r="N15" i="2" s="1"/>
  <c r="AJ4" i="4" l="1"/>
  <c r="AB4" i="3"/>
  <c r="N4" i="2"/>
</calcChain>
</file>

<file path=xl/sharedStrings.xml><?xml version="1.0" encoding="utf-8"?>
<sst xmlns="http://schemas.openxmlformats.org/spreadsheetml/2006/main" count="534" uniqueCount="172">
  <si>
    <t>mu</t>
  </si>
  <si>
    <t>sigma</t>
  </si>
  <si>
    <t>L1</t>
  </si>
  <si>
    <t>L2</t>
  </si>
  <si>
    <t>weights:</t>
  </si>
  <si>
    <t>objective:</t>
  </si>
  <si>
    <t>input</t>
  </si>
  <si>
    <t>candidate</t>
  </si>
  <si>
    <t>obs.prob</t>
  </si>
  <si>
    <t>tab.prob</t>
  </si>
  <si>
    <t>Id-Length</t>
  </si>
  <si>
    <t>STW</t>
  </si>
  <si>
    <t>*VVC</t>
  </si>
  <si>
    <t>H</t>
  </si>
  <si>
    <t>expH</t>
  </si>
  <si>
    <t>p</t>
  </si>
  <si>
    <t>likelihood</t>
  </si>
  <si>
    <t>klas</t>
  </si>
  <si>
    <t>klaas</t>
  </si>
  <si>
    <t>klas_en</t>
  </si>
  <si>
    <t>klaas_en</t>
  </si>
  <si>
    <t>kip</t>
  </si>
  <si>
    <t>kiip</t>
  </si>
  <si>
    <t>kip_en</t>
  </si>
  <si>
    <t>kiip_en</t>
  </si>
  <si>
    <t>baas</t>
  </si>
  <si>
    <t>bas</t>
  </si>
  <si>
    <t>baas_en</t>
  </si>
  <si>
    <t>bas_en</t>
  </si>
  <si>
    <t>poot</t>
  </si>
  <si>
    <t>pot</t>
  </si>
  <si>
    <t>poot_en</t>
  </si>
  <si>
    <t>pot_en</t>
  </si>
  <si>
    <t>glas</t>
  </si>
  <si>
    <t>glaas</t>
  </si>
  <si>
    <t>glas_en</t>
  </si>
  <si>
    <t>glaas_en</t>
  </si>
  <si>
    <t>slot</t>
  </si>
  <si>
    <t>sloot</t>
  </si>
  <si>
    <t>slot_en</t>
  </si>
  <si>
    <t>sloot_en</t>
  </si>
  <si>
    <t>Wug test:</t>
  </si>
  <si>
    <t>blas</t>
  </si>
  <si>
    <t>blaas</t>
  </si>
  <si>
    <t>blas_en</t>
  </si>
  <si>
    <t>blaas_en</t>
  </si>
  <si>
    <t>Id-Length_listed</t>
  </si>
  <si>
    <t>^ If you just listed the corrrect form, how would Id-length assign violations?</t>
  </si>
  <si>
    <t>klas /klaas/</t>
  </si>
  <si>
    <t>klas /klas/</t>
  </si>
  <si>
    <t>kip /kiip/</t>
  </si>
  <si>
    <t>kip /kip/</t>
  </si>
  <si>
    <t>baas /baas/</t>
  </si>
  <si>
    <t>bas /bas/</t>
  </si>
  <si>
    <t>poot /poot/</t>
  </si>
  <si>
    <t>poot /pot/</t>
  </si>
  <si>
    <t>glas /glaas/</t>
  </si>
  <si>
    <t>glas /glas/</t>
  </si>
  <si>
    <t>slot /sloot/</t>
  </si>
  <si>
    <t>slot /slot/</t>
  </si>
  <si>
    <t>/klas/ -&gt; klas</t>
  </si>
  <si>
    <r>
      <rPr>
        <sz val="10"/>
        <rFont val="Arial"/>
        <family val="2"/>
      </rPr>
      <t xml:space="preserve">/klas/ -&gt; </t>
    </r>
    <r>
      <rPr>
        <sz val="10"/>
        <rFont val="Arial"/>
        <family val="2"/>
        <charset val="1"/>
      </rPr>
      <t>klaas</t>
    </r>
  </si>
  <si>
    <r>
      <rPr>
        <sz val="10"/>
        <rFont val="Arial"/>
        <family val="2"/>
      </rPr>
      <t xml:space="preserve">/klaas/ -&gt; </t>
    </r>
    <r>
      <rPr>
        <sz val="10"/>
        <rFont val="Arial"/>
        <family val="2"/>
        <charset val="1"/>
      </rPr>
      <t>klas</t>
    </r>
  </si>
  <si>
    <r>
      <rPr>
        <sz val="10"/>
        <rFont val="Arial"/>
        <family val="2"/>
      </rPr>
      <t xml:space="preserve">/klaas/ -&gt; </t>
    </r>
    <r>
      <rPr>
        <sz val="10"/>
        <rFont val="Arial"/>
        <family val="2"/>
        <charset val="1"/>
      </rPr>
      <t>klaas</t>
    </r>
  </si>
  <si>
    <r>
      <rPr>
        <sz val="10"/>
        <rFont val="Arial"/>
        <family val="2"/>
      </rPr>
      <t xml:space="preserve">/klas/ -&gt; </t>
    </r>
    <r>
      <rPr>
        <sz val="10"/>
        <rFont val="Arial"/>
        <family val="2"/>
        <charset val="1"/>
      </rPr>
      <t>klas_en</t>
    </r>
  </si>
  <si>
    <r>
      <rPr>
        <sz val="10"/>
        <rFont val="Arial"/>
        <family val="2"/>
      </rPr>
      <t xml:space="preserve">/klas/ -&gt; </t>
    </r>
    <r>
      <rPr>
        <sz val="10"/>
        <rFont val="Arial"/>
        <family val="2"/>
        <charset val="1"/>
      </rPr>
      <t>klaas_en</t>
    </r>
  </si>
  <si>
    <r>
      <rPr>
        <sz val="10"/>
        <rFont val="Arial"/>
        <family val="2"/>
      </rPr>
      <t xml:space="preserve">/klaas/ -&gt; </t>
    </r>
    <r>
      <rPr>
        <sz val="10"/>
        <rFont val="Arial"/>
        <family val="2"/>
        <charset val="1"/>
      </rPr>
      <t>klas_en</t>
    </r>
  </si>
  <si>
    <r>
      <rPr>
        <sz val="10"/>
        <rFont val="Arial"/>
        <family val="2"/>
      </rPr>
      <t xml:space="preserve">/klaas/ -&gt; </t>
    </r>
    <r>
      <rPr>
        <sz val="10"/>
        <rFont val="Arial"/>
        <family val="2"/>
        <charset val="1"/>
      </rPr>
      <t>klaas_en</t>
    </r>
  </si>
  <si>
    <r>
      <rPr>
        <sz val="10"/>
        <rFont val="Arial"/>
        <family val="2"/>
      </rPr>
      <t xml:space="preserve">/kip/ -&gt; </t>
    </r>
    <r>
      <rPr>
        <sz val="10"/>
        <rFont val="Arial"/>
        <family val="2"/>
        <charset val="1"/>
      </rPr>
      <t>kip</t>
    </r>
  </si>
  <si>
    <r>
      <rPr>
        <sz val="10"/>
        <rFont val="Arial"/>
        <family val="2"/>
      </rPr>
      <t xml:space="preserve">/kip/ -&gt; </t>
    </r>
    <r>
      <rPr>
        <sz val="10"/>
        <rFont val="Arial"/>
        <family val="2"/>
        <charset val="1"/>
      </rPr>
      <t>kiip</t>
    </r>
  </si>
  <si>
    <r>
      <rPr>
        <sz val="10"/>
        <rFont val="Arial"/>
        <family val="2"/>
      </rPr>
      <t xml:space="preserve">/kiip/ -&gt; </t>
    </r>
    <r>
      <rPr>
        <sz val="10"/>
        <rFont val="Arial"/>
        <family val="2"/>
        <charset val="1"/>
      </rPr>
      <t>kip</t>
    </r>
  </si>
  <si>
    <r>
      <rPr>
        <sz val="10"/>
        <rFont val="Arial"/>
        <family val="2"/>
      </rPr>
      <t xml:space="preserve">/kiip/ -&gt; </t>
    </r>
    <r>
      <rPr>
        <sz val="10"/>
        <rFont val="Arial"/>
        <family val="2"/>
        <charset val="1"/>
      </rPr>
      <t>kiip</t>
    </r>
  </si>
  <si>
    <r>
      <rPr>
        <sz val="10"/>
        <rFont val="Arial"/>
        <family val="2"/>
      </rPr>
      <t xml:space="preserve">/kip/ -&gt; </t>
    </r>
    <r>
      <rPr>
        <sz val="10"/>
        <rFont val="Arial"/>
        <family val="2"/>
        <charset val="1"/>
      </rPr>
      <t>kip_en</t>
    </r>
  </si>
  <si>
    <r>
      <rPr>
        <sz val="10"/>
        <rFont val="Arial"/>
        <family val="2"/>
      </rPr>
      <t xml:space="preserve">/kip/ -&gt; </t>
    </r>
    <r>
      <rPr>
        <sz val="10"/>
        <rFont val="Arial"/>
        <family val="2"/>
        <charset val="1"/>
      </rPr>
      <t>kiip_en</t>
    </r>
  </si>
  <si>
    <r>
      <rPr>
        <sz val="10"/>
        <rFont val="Arial"/>
        <family val="2"/>
      </rPr>
      <t xml:space="preserve">/kiip/ -&gt; </t>
    </r>
    <r>
      <rPr>
        <sz val="10"/>
        <rFont val="Arial"/>
        <family val="2"/>
        <charset val="1"/>
      </rPr>
      <t>kip_en</t>
    </r>
  </si>
  <si>
    <r>
      <rPr>
        <sz val="10"/>
        <rFont val="Arial"/>
        <family val="2"/>
      </rPr>
      <t xml:space="preserve">/kiip/ -&gt; </t>
    </r>
    <r>
      <rPr>
        <sz val="10"/>
        <rFont val="Arial"/>
        <family val="2"/>
        <charset val="1"/>
      </rPr>
      <t>kiip_en</t>
    </r>
  </si>
  <si>
    <r>
      <rPr>
        <sz val="10"/>
        <rFont val="Arial"/>
        <family val="2"/>
      </rPr>
      <t xml:space="preserve">/bas/ -&gt; </t>
    </r>
    <r>
      <rPr>
        <sz val="10"/>
        <rFont val="Arial"/>
        <family val="2"/>
        <charset val="1"/>
      </rPr>
      <t>bas</t>
    </r>
  </si>
  <si>
    <r>
      <rPr>
        <sz val="10"/>
        <rFont val="Arial"/>
        <family val="2"/>
      </rPr>
      <t xml:space="preserve">/bas/ -&gt; </t>
    </r>
    <r>
      <rPr>
        <sz val="10"/>
        <rFont val="Arial"/>
        <family val="2"/>
        <charset val="1"/>
      </rPr>
      <t>baas</t>
    </r>
  </si>
  <si>
    <r>
      <rPr>
        <sz val="10"/>
        <rFont val="Arial"/>
        <family val="2"/>
      </rPr>
      <t xml:space="preserve">/baas/ -&gt; </t>
    </r>
    <r>
      <rPr>
        <sz val="10"/>
        <rFont val="Arial"/>
        <family val="2"/>
        <charset val="1"/>
      </rPr>
      <t>bas</t>
    </r>
  </si>
  <si>
    <r>
      <rPr>
        <sz val="10"/>
        <rFont val="Arial"/>
        <family val="2"/>
      </rPr>
      <t xml:space="preserve">/baas/ -&gt; </t>
    </r>
    <r>
      <rPr>
        <sz val="10"/>
        <rFont val="Arial"/>
        <family val="2"/>
        <charset val="1"/>
      </rPr>
      <t>baas</t>
    </r>
  </si>
  <si>
    <r>
      <rPr>
        <sz val="10"/>
        <rFont val="Arial"/>
        <family val="2"/>
      </rPr>
      <t xml:space="preserve">/bas/ -&gt; </t>
    </r>
    <r>
      <rPr>
        <sz val="10"/>
        <rFont val="Arial"/>
        <family val="2"/>
        <charset val="1"/>
      </rPr>
      <t>bas_en</t>
    </r>
  </si>
  <si>
    <r>
      <rPr>
        <sz val="10"/>
        <rFont val="Arial"/>
        <family val="2"/>
      </rPr>
      <t xml:space="preserve">/bas/ -&gt; </t>
    </r>
    <r>
      <rPr>
        <sz val="10"/>
        <rFont val="Arial"/>
        <family val="2"/>
        <charset val="1"/>
      </rPr>
      <t>baas_en</t>
    </r>
  </si>
  <si>
    <r>
      <rPr>
        <sz val="10"/>
        <rFont val="Arial"/>
        <family val="2"/>
      </rPr>
      <t xml:space="preserve">/baas/ -&gt; </t>
    </r>
    <r>
      <rPr>
        <sz val="10"/>
        <rFont val="Arial"/>
        <family val="2"/>
        <charset val="1"/>
      </rPr>
      <t>bas_en</t>
    </r>
  </si>
  <si>
    <r>
      <rPr>
        <sz val="10"/>
        <rFont val="Arial"/>
        <family val="2"/>
      </rPr>
      <t xml:space="preserve">/baas/ -&gt; </t>
    </r>
    <r>
      <rPr>
        <sz val="10"/>
        <rFont val="Arial"/>
        <family val="2"/>
        <charset val="1"/>
      </rPr>
      <t>baas_en</t>
    </r>
  </si>
  <si>
    <r>
      <rPr>
        <sz val="10"/>
        <rFont val="Arial"/>
        <family val="2"/>
      </rPr>
      <t xml:space="preserve">/pot/ -&gt; </t>
    </r>
    <r>
      <rPr>
        <sz val="10"/>
        <rFont val="Arial"/>
        <family val="2"/>
        <charset val="1"/>
      </rPr>
      <t>pot</t>
    </r>
  </si>
  <si>
    <r>
      <rPr>
        <sz val="10"/>
        <rFont val="Arial"/>
        <family val="2"/>
      </rPr>
      <t xml:space="preserve">/pot/ -&gt; </t>
    </r>
    <r>
      <rPr>
        <sz val="10"/>
        <rFont val="Arial"/>
        <family val="2"/>
        <charset val="1"/>
      </rPr>
      <t>poot</t>
    </r>
  </si>
  <si>
    <r>
      <rPr>
        <sz val="10"/>
        <rFont val="Arial"/>
        <family val="2"/>
      </rPr>
      <t xml:space="preserve">/poot/ -&gt; </t>
    </r>
    <r>
      <rPr>
        <sz val="10"/>
        <rFont val="Arial"/>
        <family val="2"/>
        <charset val="1"/>
      </rPr>
      <t>pot</t>
    </r>
  </si>
  <si>
    <r>
      <rPr>
        <sz val="10"/>
        <rFont val="Arial"/>
        <family val="2"/>
      </rPr>
      <t xml:space="preserve">/poot/ -&gt; </t>
    </r>
    <r>
      <rPr>
        <sz val="10"/>
        <rFont val="Arial"/>
        <family val="2"/>
        <charset val="1"/>
      </rPr>
      <t>poot</t>
    </r>
  </si>
  <si>
    <r>
      <rPr>
        <sz val="10"/>
        <rFont val="Arial"/>
        <family val="2"/>
      </rPr>
      <t xml:space="preserve">/pot/ -&gt; </t>
    </r>
    <r>
      <rPr>
        <sz val="10"/>
        <rFont val="Arial"/>
        <family val="2"/>
        <charset val="1"/>
      </rPr>
      <t>pot_en</t>
    </r>
  </si>
  <si>
    <r>
      <rPr>
        <sz val="10"/>
        <rFont val="Arial"/>
        <family val="2"/>
      </rPr>
      <t xml:space="preserve">/pot/ -&gt; </t>
    </r>
    <r>
      <rPr>
        <sz val="10"/>
        <rFont val="Arial"/>
        <family val="2"/>
        <charset val="1"/>
      </rPr>
      <t>poot_en</t>
    </r>
  </si>
  <si>
    <r>
      <rPr>
        <sz val="10"/>
        <rFont val="Arial"/>
        <family val="2"/>
      </rPr>
      <t xml:space="preserve">/poot/ -&gt; </t>
    </r>
    <r>
      <rPr>
        <sz val="10"/>
        <rFont val="Arial"/>
        <family val="2"/>
        <charset val="1"/>
      </rPr>
      <t>pot_en</t>
    </r>
  </si>
  <si>
    <r>
      <rPr>
        <sz val="10"/>
        <rFont val="Arial"/>
        <family val="2"/>
      </rPr>
      <t xml:space="preserve">/poot/ -&gt; </t>
    </r>
    <r>
      <rPr>
        <sz val="10"/>
        <rFont val="Arial"/>
        <family val="2"/>
        <charset val="1"/>
      </rPr>
      <t>poot_en</t>
    </r>
  </si>
  <si>
    <r>
      <rPr>
        <sz val="10"/>
        <rFont val="Arial"/>
        <family val="2"/>
      </rPr>
      <t xml:space="preserve">/glas/ -&gt; </t>
    </r>
    <r>
      <rPr>
        <sz val="10"/>
        <rFont val="Arial"/>
        <family val="2"/>
        <charset val="1"/>
      </rPr>
      <t>glas</t>
    </r>
  </si>
  <si>
    <r>
      <rPr>
        <sz val="10"/>
        <rFont val="Arial"/>
        <family val="2"/>
      </rPr>
      <t xml:space="preserve">/glas/ -&gt; </t>
    </r>
    <r>
      <rPr>
        <sz val="10"/>
        <rFont val="Arial"/>
        <family val="2"/>
        <charset val="1"/>
      </rPr>
      <t>glaas</t>
    </r>
  </si>
  <si>
    <r>
      <rPr>
        <sz val="10"/>
        <rFont val="Arial"/>
        <family val="2"/>
      </rPr>
      <t xml:space="preserve">/glaas/ -&gt; </t>
    </r>
    <r>
      <rPr>
        <sz val="10"/>
        <rFont val="Arial"/>
        <family val="2"/>
        <charset val="1"/>
      </rPr>
      <t>glas</t>
    </r>
  </si>
  <si>
    <r>
      <rPr>
        <sz val="10"/>
        <rFont val="Arial"/>
        <family val="2"/>
      </rPr>
      <t xml:space="preserve">/glaas/ -&gt; </t>
    </r>
    <r>
      <rPr>
        <sz val="10"/>
        <rFont val="Arial"/>
        <family val="2"/>
        <charset val="1"/>
      </rPr>
      <t>glaas</t>
    </r>
  </si>
  <si>
    <r>
      <rPr>
        <sz val="10"/>
        <rFont val="Arial"/>
        <family val="2"/>
      </rPr>
      <t xml:space="preserve">/glas/ -&gt; </t>
    </r>
    <r>
      <rPr>
        <sz val="10"/>
        <rFont val="Arial"/>
        <family val="2"/>
        <charset val="1"/>
      </rPr>
      <t>glas_en</t>
    </r>
  </si>
  <si>
    <r>
      <rPr>
        <sz val="10"/>
        <rFont val="Arial"/>
        <family val="2"/>
      </rPr>
      <t xml:space="preserve">/glas/ -&gt; </t>
    </r>
    <r>
      <rPr>
        <sz val="10"/>
        <rFont val="Arial"/>
        <family val="2"/>
        <charset val="1"/>
      </rPr>
      <t>glaas_en</t>
    </r>
  </si>
  <si>
    <r>
      <rPr>
        <sz val="10"/>
        <rFont val="Arial"/>
        <family val="2"/>
      </rPr>
      <t xml:space="preserve">/glaas/ -&gt; </t>
    </r>
    <r>
      <rPr>
        <sz val="10"/>
        <rFont val="Arial"/>
        <family val="2"/>
        <charset val="1"/>
      </rPr>
      <t>glas_en</t>
    </r>
  </si>
  <si>
    <r>
      <rPr>
        <sz val="10"/>
        <rFont val="Arial"/>
        <family val="2"/>
      </rPr>
      <t xml:space="preserve">/glaas/ -&gt; </t>
    </r>
    <r>
      <rPr>
        <sz val="10"/>
        <rFont val="Arial"/>
        <family val="2"/>
        <charset val="1"/>
      </rPr>
      <t>glaas_en</t>
    </r>
  </si>
  <si>
    <r>
      <rPr>
        <sz val="10"/>
        <rFont val="Arial"/>
        <family val="2"/>
      </rPr>
      <t xml:space="preserve">/slot/ -&gt; </t>
    </r>
    <r>
      <rPr>
        <sz val="10"/>
        <rFont val="Arial"/>
        <family val="2"/>
        <charset val="1"/>
      </rPr>
      <t>slot</t>
    </r>
  </si>
  <si>
    <r>
      <rPr>
        <sz val="10"/>
        <rFont val="Arial"/>
        <family val="2"/>
      </rPr>
      <t xml:space="preserve">/slot/ -&gt; </t>
    </r>
    <r>
      <rPr>
        <sz val="10"/>
        <rFont val="Arial"/>
        <family val="2"/>
        <charset val="1"/>
      </rPr>
      <t>sloot</t>
    </r>
  </si>
  <si>
    <r>
      <rPr>
        <sz val="10"/>
        <rFont val="Arial"/>
        <family val="2"/>
      </rPr>
      <t xml:space="preserve">/sloot/ -&gt; </t>
    </r>
    <r>
      <rPr>
        <sz val="10"/>
        <rFont val="Arial"/>
        <family val="2"/>
        <charset val="1"/>
      </rPr>
      <t>slot</t>
    </r>
  </si>
  <si>
    <r>
      <rPr>
        <sz val="10"/>
        <rFont val="Arial"/>
        <family val="2"/>
      </rPr>
      <t xml:space="preserve">/sloot/ -&gt; </t>
    </r>
    <r>
      <rPr>
        <sz val="10"/>
        <rFont val="Arial"/>
        <family val="2"/>
        <charset val="1"/>
      </rPr>
      <t>sloot</t>
    </r>
  </si>
  <si>
    <r>
      <rPr>
        <sz val="10"/>
        <rFont val="Arial"/>
        <family val="2"/>
      </rPr>
      <t xml:space="preserve">/slot/ -&gt; </t>
    </r>
    <r>
      <rPr>
        <sz val="10"/>
        <rFont val="Arial"/>
        <family val="2"/>
        <charset val="1"/>
      </rPr>
      <t>slot_en</t>
    </r>
  </si>
  <si>
    <r>
      <rPr>
        <sz val="10"/>
        <rFont val="Arial"/>
        <family val="2"/>
      </rPr>
      <t xml:space="preserve">/slot/ -&gt; </t>
    </r>
    <r>
      <rPr>
        <sz val="10"/>
        <rFont val="Arial"/>
        <family val="2"/>
        <charset val="1"/>
      </rPr>
      <t>sloot_en</t>
    </r>
  </si>
  <si>
    <r>
      <rPr>
        <sz val="10"/>
        <rFont val="Arial"/>
        <family val="2"/>
      </rPr>
      <t xml:space="preserve">/sloot/ -&gt; </t>
    </r>
    <r>
      <rPr>
        <sz val="10"/>
        <rFont val="Arial"/>
        <family val="2"/>
        <charset val="1"/>
      </rPr>
      <t>slot_en</t>
    </r>
  </si>
  <si>
    <r>
      <rPr>
        <sz val="10"/>
        <rFont val="Arial"/>
        <family val="2"/>
      </rPr>
      <t xml:space="preserve">/sloot/ -&gt; </t>
    </r>
    <r>
      <rPr>
        <sz val="10"/>
        <rFont val="Arial"/>
        <family val="2"/>
        <charset val="1"/>
      </rPr>
      <t>sloot_en</t>
    </r>
  </si>
  <si>
    <t>Id_klas</t>
  </si>
  <si>
    <t>Id_kip</t>
  </si>
  <si>
    <t>Id_baas</t>
  </si>
  <si>
    <t>Id_poot</t>
  </si>
  <si>
    <t>Id_glas</t>
  </si>
  <si>
    <t>Id_slot</t>
  </si>
  <si>
    <t>STW_klas</t>
  </si>
  <si>
    <t>STW_kip</t>
  </si>
  <si>
    <t>STW_baas</t>
  </si>
  <si>
    <t>STW_poot</t>
  </si>
  <si>
    <t>STW_glas</t>
  </si>
  <si>
    <t>STW_slot</t>
  </si>
  <si>
    <t>*VVC_klas</t>
  </si>
  <si>
    <t>*VVC_kip</t>
  </si>
  <si>
    <t>*VVC_baas</t>
  </si>
  <si>
    <t>*VVC_poot</t>
  </si>
  <si>
    <t>*VVC_glas</t>
  </si>
  <si>
    <t>*VVC_slot</t>
  </si>
  <si>
    <t>p_surface</t>
  </si>
  <si>
    <t>obs_surface</t>
  </si>
  <si>
    <t>+long</t>
  </si>
  <si>
    <t>-long</t>
  </si>
  <si>
    <t>S1_velar</t>
  </si>
  <si>
    <t>S4_sibilant</t>
  </si>
  <si>
    <t>plas</t>
  </si>
  <si>
    <t>klaf</t>
  </si>
  <si>
    <t>S4_labial</t>
  </si>
  <si>
    <t>tip</t>
  </si>
  <si>
    <t>kik</t>
  </si>
  <si>
    <t>S1_voice</t>
  </si>
  <si>
    <t>S3_sibilant</t>
  </si>
  <si>
    <t>pas</t>
  </si>
  <si>
    <t>baf</t>
  </si>
  <si>
    <t>S1_-voice</t>
  </si>
  <si>
    <t>S3_coronal</t>
  </si>
  <si>
    <t>bot</t>
  </si>
  <si>
    <t>pok</t>
  </si>
  <si>
    <t>glaf</t>
  </si>
  <si>
    <t>S1_sibilant</t>
  </si>
  <si>
    <t>S4_coronal</t>
  </si>
  <si>
    <t>flot</t>
  </si>
  <si>
    <t>slok</t>
  </si>
  <si>
    <t>predicts slot_en</t>
  </si>
  <si>
    <t>create URC</t>
  </si>
  <si>
    <t>check ID-Listed, ID. If they are different</t>
  </si>
  <si>
    <t>create a URC that says 'use _listed violations of Faith</t>
  </si>
  <si>
    <t>slot/sloot</t>
  </si>
  <si>
    <t>the URC is active ANYTIME the lexeme is used</t>
  </si>
  <si>
    <t>sloden</t>
  </si>
  <si>
    <t>slooden</t>
  </si>
  <si>
    <t>*VTV</t>
  </si>
  <si>
    <t>Ident-voi</t>
  </si>
  <si>
    <t>Ident-long</t>
  </si>
  <si>
    <t>/slot+PL/</t>
  </si>
  <si>
    <t>slot+en</t>
  </si>
  <si>
    <t>sloot+en</t>
  </si>
  <si>
    <t>slod+en</t>
  </si>
  <si>
    <t>slood+en</t>
  </si>
  <si>
    <t>sloten</t>
  </si>
  <si>
    <t>slooten</t>
  </si>
  <si>
    <t>Ident-voi_listed</t>
  </si>
  <si>
    <t>Ident-long_listed</t>
  </si>
  <si>
    <t>glast</t>
  </si>
  <si>
    <t>glasten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</si>
</sst>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color rgb="FFB2B2B2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5B277D"/>
      <name val="Arial"/>
      <family val="2"/>
      <charset val="1"/>
    </font>
    <font>
      <b/>
      <sz val="10"/>
      <name val="Arial"/>
      <family val="2"/>
      <charset val="1"/>
    </font>
    <font>
      <sz val="10"/>
      <color rgb="FF729FCF"/>
      <name val="Arial"/>
      <family val="2"/>
      <charset val="1"/>
    </font>
    <font>
      <sz val="10"/>
      <name val="Arial"/>
      <family val="2"/>
    </font>
    <font>
      <sz val="10"/>
      <color theme="0" tint="-0.14999847407452621"/>
      <name val="Arial"/>
      <family val="2"/>
      <charset val="1"/>
    </font>
    <font>
      <b/>
      <sz val="10"/>
      <color theme="5" tint="-0.499984740745262"/>
      <name val="Arial"/>
      <family val="2"/>
      <charset val="1"/>
    </font>
    <font>
      <sz val="10"/>
      <color theme="0" tint="-0.34998626667073579"/>
      <name val="Arial"/>
      <family val="2"/>
      <charset val="1"/>
    </font>
    <font>
      <sz val="10"/>
      <color theme="5" tint="-0.249977111117893"/>
      <name val="Arial"/>
      <family val="2"/>
      <charset val="1"/>
    </font>
    <font>
      <b/>
      <sz val="10"/>
      <color theme="9" tint="-0.499984740745262"/>
      <name val="Arial"/>
      <family val="2"/>
      <charset val="1"/>
    </font>
    <font>
      <sz val="10"/>
      <color theme="9" tint="-0.499984740745262"/>
      <name val="Arial"/>
      <family val="2"/>
      <charset val="1"/>
    </font>
    <font>
      <b/>
      <sz val="10"/>
      <color theme="3" tint="-0.499984740745262"/>
      <name val="Arial"/>
      <family val="2"/>
      <charset val="1"/>
    </font>
    <font>
      <sz val="10"/>
      <color theme="3" tint="-0.249977111117893"/>
      <name val="Arial"/>
      <family val="2"/>
      <charset val="1"/>
    </font>
    <font>
      <b/>
      <sz val="10"/>
      <color theme="7" tint="-0.499984740745262"/>
      <name val="Arial"/>
      <family val="2"/>
      <charset val="1"/>
    </font>
    <font>
      <sz val="10"/>
      <color theme="7" tint="-0.499984740745262"/>
      <name val="Arial"/>
      <family val="2"/>
      <charset val="1"/>
    </font>
    <font>
      <sz val="10"/>
      <color rgb="FF641E84"/>
      <name val="Arial"/>
      <family val="2"/>
      <charset val="1"/>
    </font>
    <font>
      <b/>
      <sz val="10"/>
      <color rgb="FF641E84"/>
      <name val="Arial"/>
      <family val="2"/>
      <charset val="1"/>
    </font>
    <font>
      <b/>
      <sz val="10"/>
      <color rgb="FF033E3F"/>
      <name val="Arial"/>
      <family val="2"/>
      <charset val="1"/>
    </font>
    <font>
      <sz val="10"/>
      <color rgb="FF033E3F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DEDCE6"/>
        <bgColor rgb="FFDDDDDD"/>
      </patternFill>
    </fill>
    <fill>
      <patternFill patternType="solid">
        <fgColor rgb="FFDEE6EF"/>
        <bgColor rgb="FFDEDCE6"/>
      </patternFill>
    </fill>
    <fill>
      <patternFill patternType="solid">
        <fgColor rgb="FFDDDDDD"/>
        <bgColor rgb="FFDEDC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EDCE6"/>
      </patternFill>
    </fill>
    <fill>
      <patternFill patternType="solid">
        <fgColor theme="5" tint="0.79998168889431442"/>
        <bgColor rgb="FFDEDCE6"/>
      </patternFill>
    </fill>
    <fill>
      <patternFill patternType="solid">
        <fgColor theme="5" tint="0.59999389629810485"/>
        <bgColor rgb="FFDDDDDD"/>
      </patternFill>
    </fill>
    <fill>
      <patternFill patternType="solid">
        <fgColor theme="0" tint="-0.14999847407452621"/>
        <bgColor rgb="FFDEDCE6"/>
      </patternFill>
    </fill>
    <fill>
      <patternFill patternType="solid">
        <fgColor theme="9" tint="0.79998168889431442"/>
        <bgColor rgb="FFDEDCE6"/>
      </patternFill>
    </fill>
    <fill>
      <patternFill patternType="solid">
        <fgColor theme="9" tint="0.39997558519241921"/>
        <bgColor rgb="FFDDDDDD"/>
      </patternFill>
    </fill>
    <fill>
      <patternFill patternType="solid">
        <fgColor theme="3" tint="0.79998168889431442"/>
        <bgColor rgb="FFDEDCE6"/>
      </patternFill>
    </fill>
    <fill>
      <patternFill patternType="solid">
        <fgColor theme="7" tint="0.79998168889431442"/>
        <bgColor rgb="FFDEDCE6"/>
      </patternFill>
    </fill>
    <fill>
      <patternFill patternType="solid">
        <fgColor rgb="FFEDD8F6"/>
        <bgColor rgb="FFDEDCE6"/>
      </patternFill>
    </fill>
    <fill>
      <patternFill patternType="solid">
        <fgColor rgb="FFD1FCFD"/>
        <bgColor rgb="FFDEDCE6"/>
      </patternFill>
    </fill>
    <fill>
      <patternFill patternType="solid">
        <fgColor theme="3" tint="0.39997558519241921"/>
        <bgColor rgb="FFDDDDDD"/>
      </patternFill>
    </fill>
    <fill>
      <patternFill patternType="solid">
        <fgColor theme="7" tint="0.59999389629810485"/>
        <bgColor rgb="FFDDDDDD"/>
      </patternFill>
    </fill>
    <fill>
      <patternFill patternType="solid">
        <fgColor rgb="FFDAB1ED"/>
        <bgColor rgb="FFDDDDDD"/>
      </patternFill>
    </fill>
    <fill>
      <patternFill patternType="solid">
        <fgColor rgb="FF5EF4F8"/>
        <bgColor rgb="FFDDDDDD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 style="thin">
        <color rgb="FFB4C7DC"/>
      </left>
      <right style="thin">
        <color rgb="FFB4C7DC"/>
      </right>
      <top style="thin">
        <color auto="1"/>
      </top>
      <bottom style="thin">
        <color rgb="FFB4C7DC"/>
      </bottom>
      <diagonal/>
    </border>
    <border>
      <left style="thin">
        <color rgb="FFB4C7DC"/>
      </left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B4C7DC"/>
      </left>
      <right style="thin">
        <color rgb="FFB4C7DC"/>
      </right>
      <top/>
      <bottom style="thin">
        <color rgb="FFB4C7D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5" fillId="2" borderId="0" xfId="0" applyFont="1" applyFill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0" fillId="3" borderId="3" xfId="0" applyFont="1" applyFill="1" applyBorder="1"/>
    <xf numFmtId="0" fontId="0" fillId="3" borderId="3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0" fillId="3" borderId="4" xfId="0" applyFont="1" applyFill="1" applyBorder="1"/>
    <xf numFmtId="0" fontId="0" fillId="3" borderId="4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ont="1" applyFill="1" applyBorder="1" applyAlignment="1">
      <alignment horizontal="left"/>
    </xf>
    <xf numFmtId="0" fontId="6" fillId="0" borderId="0" xfId="0" applyFont="1"/>
    <xf numFmtId="49" fontId="0" fillId="0" borderId="0" xfId="0" applyNumberFormat="1" applyFont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0" fontId="8" fillId="3" borderId="4" xfId="0" applyFont="1" applyFill="1" applyBorder="1"/>
    <xf numFmtId="0" fontId="7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0" fillId="7" borderId="3" xfId="0" applyFont="1" applyFill="1" applyBorder="1"/>
    <xf numFmtId="0" fontId="0" fillId="7" borderId="4" xfId="0" applyFont="1" applyFill="1" applyBorder="1"/>
    <xf numFmtId="0" fontId="10" fillId="8" borderId="2" xfId="0" quotePrefix="1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0" fontId="0" fillId="7" borderId="5" xfId="0" applyFont="1" applyFill="1" applyBorder="1"/>
    <xf numFmtId="0" fontId="0" fillId="3" borderId="5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0" fillId="10" borderId="4" xfId="0" applyFont="1" applyFill="1" applyBorder="1"/>
    <xf numFmtId="0" fontId="13" fillId="11" borderId="2" xfId="0" quotePrefix="1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0" fillId="12" borderId="4" xfId="0" applyFont="1" applyFill="1" applyBorder="1"/>
    <xf numFmtId="0" fontId="0" fillId="13" borderId="4" xfId="0" applyFont="1" applyFill="1" applyBorder="1"/>
    <xf numFmtId="0" fontId="0" fillId="14" borderId="4" xfId="0" applyFont="1" applyFill="1" applyBorder="1"/>
    <xf numFmtId="0" fontId="0" fillId="15" borderId="4" xfId="0" applyFont="1" applyFill="1" applyBorder="1" applyAlignment="1">
      <alignment horizontal="left"/>
    </xf>
    <xf numFmtId="0" fontId="15" fillId="16" borderId="2" xfId="0" quotePrefix="1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7" fillId="17" borderId="2" xfId="0" quotePrefix="1" applyFont="1" applyFill="1" applyBorder="1" applyAlignment="1">
      <alignment horizontal="center"/>
    </xf>
    <xf numFmtId="0" fontId="17" fillId="17" borderId="2" xfId="0" applyFont="1" applyFill="1" applyBorder="1" applyAlignment="1">
      <alignment horizontal="center"/>
    </xf>
    <xf numFmtId="0" fontId="18" fillId="13" borderId="4" xfId="0" applyFont="1" applyFill="1" applyBorder="1" applyAlignment="1">
      <alignment horizontal="center"/>
    </xf>
    <xf numFmtId="0" fontId="19" fillId="14" borderId="4" xfId="0" applyFont="1" applyFill="1" applyBorder="1" applyAlignment="1">
      <alignment horizontal="center"/>
    </xf>
    <xf numFmtId="0" fontId="20" fillId="18" borderId="2" xfId="0" quotePrefix="1" applyFont="1" applyFill="1" applyBorder="1" applyAlignment="1">
      <alignment horizontal="center"/>
    </xf>
    <xf numFmtId="0" fontId="20" fillId="18" borderId="2" xfId="0" applyFont="1" applyFill="1" applyBorder="1" applyAlignment="1">
      <alignment horizontal="center"/>
    </xf>
    <xf numFmtId="0" fontId="21" fillId="19" borderId="2" xfId="0" quotePrefix="1" applyFont="1" applyFill="1" applyBorder="1" applyAlignment="1">
      <alignment horizontal="center"/>
    </xf>
    <xf numFmtId="0" fontId="21" fillId="19" borderId="2" xfId="0" applyFont="1" applyFill="1" applyBorder="1" applyAlignment="1">
      <alignment horizontal="center"/>
    </xf>
    <xf numFmtId="0" fontId="22" fillId="15" borderId="4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B4C7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5B27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33E3F"/>
      <color rgb="FFD1FCFD"/>
      <color rgb="FF5EF4F8"/>
      <color rgb="FFDAB1ED"/>
      <color rgb="FF641E84"/>
      <color rgb="FFEDD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W40"/>
  <sheetViews>
    <sheetView topLeftCell="A4" zoomScale="150" zoomScaleNormal="150" workbookViewId="0">
      <selection activeCell="L9" sqref="L9:L10"/>
    </sheetView>
  </sheetViews>
  <sheetFormatPr defaultColWidth="11.5546875" defaultRowHeight="13.2" x14ac:dyDescent="0.25"/>
  <cols>
    <col min="4" max="5" width="11.5546875" style="1"/>
    <col min="6" max="6" width="13.88671875" style="1" customWidth="1"/>
    <col min="7" max="7" width="8.33203125" style="1" customWidth="1"/>
    <col min="8" max="8" width="7.44140625" style="1" customWidth="1"/>
    <col min="9" max="10" width="11.5546875" style="2"/>
    <col min="11" max="11" width="8" style="3" customWidth="1"/>
    <col min="12" max="12" width="11.5546875" style="4"/>
    <col min="13" max="31" width="11.5546875" style="2"/>
    <col min="32" max="1011" width="11.5546875" style="5"/>
  </cols>
  <sheetData>
    <row r="1" spans="2:13" x14ac:dyDescent="0.25">
      <c r="F1"/>
      <c r="G1"/>
      <c r="H1"/>
    </row>
    <row r="2" spans="2:13" x14ac:dyDescent="0.25">
      <c r="B2" t="s">
        <v>0</v>
      </c>
      <c r="C2" t="s">
        <v>1</v>
      </c>
      <c r="E2" s="1" t="s">
        <v>2</v>
      </c>
      <c r="F2" s="1">
        <f>(F3-$B$3)*SQRT(2)/($C$3)^2</f>
        <v>7.8783026226944679E-6</v>
      </c>
      <c r="G2" s="1">
        <f>(G3-$B$3)*SQRT(2)/($C$3)^2</f>
        <v>4.3549032788535287E-6</v>
      </c>
      <c r="H2" s="1">
        <f>(H3-$B$3)*SQRT(2)/($C$3)^2</f>
        <v>3.9446982282086594E-6</v>
      </c>
      <c r="M2" s="2">
        <f>SUM(F2:H2)</f>
        <v>1.6177904129756656E-5</v>
      </c>
    </row>
    <row r="3" spans="2:13" x14ac:dyDescent="0.25">
      <c r="B3">
        <v>0</v>
      </c>
      <c r="C3">
        <v>100</v>
      </c>
      <c r="E3" s="1" t="s">
        <v>3</v>
      </c>
      <c r="F3" s="1">
        <f>(F4-$B$3)^2/2/$C$3</f>
        <v>5.5708012087470199E-2</v>
      </c>
      <c r="G3" s="1">
        <f>(G4-$B$3)^2/2/$C$3</f>
        <v>3.0793816398888604E-2</v>
      </c>
      <c r="H3" s="1">
        <f>(H4-$B$3)^2/2/$C$3</f>
        <v>2.7893228669009021E-2</v>
      </c>
      <c r="M3" s="2">
        <f>SUM(F3:H3)</f>
        <v>0.11439505715536782</v>
      </c>
    </row>
    <row r="4" spans="2:13" x14ac:dyDescent="0.25">
      <c r="E4" s="1" t="s">
        <v>4</v>
      </c>
      <c r="F4" s="1">
        <v>3.3379038957846046</v>
      </c>
      <c r="G4" s="1">
        <v>2.4816855723031717</v>
      </c>
      <c r="H4" s="1">
        <v>2.361915691510136</v>
      </c>
      <c r="L4" s="6" t="s">
        <v>5</v>
      </c>
      <c r="M4" s="2">
        <f>SUM(M7:M26)-M3</f>
        <v>-1.0281290343327303</v>
      </c>
    </row>
    <row r="6" spans="2:13" x14ac:dyDescent="0.25">
      <c r="B6" s="7" t="s">
        <v>6</v>
      </c>
      <c r="C6" s="8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J6" s="2" t="s">
        <v>13</v>
      </c>
      <c r="K6" s="3" t="s">
        <v>14</v>
      </c>
      <c r="L6" s="4" t="s">
        <v>15</v>
      </c>
      <c r="M6" s="2" t="s">
        <v>16</v>
      </c>
    </row>
    <row r="7" spans="2:13" x14ac:dyDescent="0.25">
      <c r="B7" s="10" t="s">
        <v>17</v>
      </c>
      <c r="C7" s="10" t="s">
        <v>17</v>
      </c>
      <c r="D7" s="11">
        <v>1</v>
      </c>
      <c r="E7" s="11">
        <v>1</v>
      </c>
      <c r="F7" s="11">
        <v>0</v>
      </c>
      <c r="G7" s="11">
        <v>1</v>
      </c>
      <c r="H7" s="12">
        <v>0</v>
      </c>
      <c r="J7" s="2">
        <f t="shared" ref="J7:J30" si="0">-SUMPRODUCT(F7:H7,F$4:H$4)</f>
        <v>-2.4816855723031717</v>
      </c>
      <c r="K7" s="3">
        <f t="shared" ref="K7:K30" si="1">EXP(J7)</f>
        <v>8.3602189227446749E-2</v>
      </c>
      <c r="L7" s="13">
        <f t="shared" ref="L7:L30" si="2">K7/SUMIF(B:B,B7,K:K)</f>
        <v>0.96151101834667774</v>
      </c>
      <c r="M7" s="2">
        <f t="shared" ref="M7:M30" si="3">LOG(L7)*D7</f>
        <v>-1.7045734639496227E-2</v>
      </c>
    </row>
    <row r="8" spans="2:13" x14ac:dyDescent="0.25">
      <c r="B8" s="14" t="s">
        <v>17</v>
      </c>
      <c r="C8" s="14" t="s">
        <v>18</v>
      </c>
      <c r="D8" s="15">
        <v>0</v>
      </c>
      <c r="E8" s="15">
        <v>1</v>
      </c>
      <c r="F8" s="15">
        <v>1</v>
      </c>
      <c r="G8" s="15">
        <v>0</v>
      </c>
      <c r="H8" s="16">
        <v>1</v>
      </c>
      <c r="J8" s="2">
        <f t="shared" si="0"/>
        <v>-5.6998195872947406</v>
      </c>
      <c r="K8" s="3">
        <f t="shared" si="1"/>
        <v>3.3465691666079217E-3</v>
      </c>
      <c r="L8" s="13">
        <f t="shared" si="2"/>
        <v>3.8488981653322284E-2</v>
      </c>
      <c r="M8" s="2">
        <f t="shared" si="3"/>
        <v>0</v>
      </c>
    </row>
    <row r="9" spans="2:13" x14ac:dyDescent="0.25">
      <c r="B9" s="14" t="s">
        <v>19</v>
      </c>
      <c r="C9" s="14" t="s">
        <v>19</v>
      </c>
      <c r="D9" s="15">
        <v>1</v>
      </c>
      <c r="E9" s="15">
        <v>1</v>
      </c>
      <c r="F9" s="15">
        <v>0</v>
      </c>
      <c r="G9" s="15">
        <v>1</v>
      </c>
      <c r="H9" s="16">
        <v>0</v>
      </c>
      <c r="J9" s="2">
        <f t="shared" si="0"/>
        <v>-2.4816855723031717</v>
      </c>
      <c r="K9" s="3">
        <f t="shared" si="1"/>
        <v>8.3602189227446749E-2</v>
      </c>
      <c r="L9" s="13">
        <f t="shared" si="2"/>
        <v>0.70186994868810793</v>
      </c>
      <c r="M9" s="2">
        <f t="shared" si="3"/>
        <v>-0.15374335197206307</v>
      </c>
    </row>
    <row r="10" spans="2:13" x14ac:dyDescent="0.25">
      <c r="B10" s="14" t="s">
        <v>19</v>
      </c>
      <c r="C10" s="14" t="s">
        <v>20</v>
      </c>
      <c r="D10" s="15">
        <v>0</v>
      </c>
      <c r="E10" s="15">
        <v>1</v>
      </c>
      <c r="F10" s="15">
        <v>1</v>
      </c>
      <c r="G10" s="15">
        <v>0</v>
      </c>
      <c r="H10" s="16">
        <v>0</v>
      </c>
      <c r="J10" s="2">
        <f t="shared" si="0"/>
        <v>-3.3379038957846046</v>
      </c>
      <c r="K10" s="3">
        <f t="shared" si="1"/>
        <v>3.551131518132699E-2</v>
      </c>
      <c r="L10" s="13">
        <f t="shared" si="2"/>
        <v>0.29813005131189196</v>
      </c>
      <c r="M10" s="2">
        <f t="shared" si="3"/>
        <v>0</v>
      </c>
    </row>
    <row r="11" spans="2:13" x14ac:dyDescent="0.25">
      <c r="B11" s="14" t="s">
        <v>21</v>
      </c>
      <c r="C11" s="14" t="s">
        <v>21</v>
      </c>
      <c r="D11" s="15">
        <v>1</v>
      </c>
      <c r="E11" s="15">
        <v>1</v>
      </c>
      <c r="F11" s="15">
        <v>0</v>
      </c>
      <c r="G11" s="15">
        <v>1</v>
      </c>
      <c r="H11" s="16">
        <v>0</v>
      </c>
      <c r="J11" s="2">
        <f t="shared" si="0"/>
        <v>-2.4816855723031717</v>
      </c>
      <c r="K11" s="3">
        <f t="shared" si="1"/>
        <v>8.3602189227446749E-2</v>
      </c>
      <c r="L11" s="13">
        <f t="shared" si="2"/>
        <v>0.96151101834667774</v>
      </c>
      <c r="M11" s="2">
        <f t="shared" si="3"/>
        <v>-1.7045734639496227E-2</v>
      </c>
    </row>
    <row r="12" spans="2:13" x14ac:dyDescent="0.25">
      <c r="B12" s="14" t="s">
        <v>21</v>
      </c>
      <c r="C12" s="14" t="s">
        <v>22</v>
      </c>
      <c r="D12" s="15">
        <v>0</v>
      </c>
      <c r="E12" s="15">
        <v>1</v>
      </c>
      <c r="F12" s="15">
        <v>1</v>
      </c>
      <c r="G12" s="15">
        <v>0</v>
      </c>
      <c r="H12" s="16">
        <v>1</v>
      </c>
      <c r="J12" s="2">
        <f t="shared" si="0"/>
        <v>-5.6998195872947406</v>
      </c>
      <c r="K12" s="3">
        <f t="shared" si="1"/>
        <v>3.3465691666079217E-3</v>
      </c>
      <c r="L12" s="13">
        <f t="shared" si="2"/>
        <v>3.8488981653322284E-2</v>
      </c>
      <c r="M12" s="2">
        <f t="shared" si="3"/>
        <v>0</v>
      </c>
    </row>
    <row r="13" spans="2:13" x14ac:dyDescent="0.25">
      <c r="B13" s="14" t="s">
        <v>23</v>
      </c>
      <c r="C13" s="14" t="s">
        <v>23</v>
      </c>
      <c r="D13" s="15">
        <v>1</v>
      </c>
      <c r="E13" s="15">
        <v>1</v>
      </c>
      <c r="F13" s="15">
        <v>0</v>
      </c>
      <c r="G13" s="15">
        <v>1</v>
      </c>
      <c r="H13" s="16">
        <v>0</v>
      </c>
      <c r="J13" s="2">
        <f t="shared" si="0"/>
        <v>-2.4816855723031717</v>
      </c>
      <c r="K13" s="3">
        <f t="shared" si="1"/>
        <v>8.3602189227446749E-2</v>
      </c>
      <c r="L13" s="13">
        <f t="shared" si="2"/>
        <v>0.70186994868810793</v>
      </c>
      <c r="M13" s="2">
        <f t="shared" si="3"/>
        <v>-0.15374335197206307</v>
      </c>
    </row>
    <row r="14" spans="2:13" x14ac:dyDescent="0.25">
      <c r="B14" s="14" t="s">
        <v>23</v>
      </c>
      <c r="C14" s="14" t="s">
        <v>24</v>
      </c>
      <c r="D14" s="15">
        <v>0</v>
      </c>
      <c r="E14" s="15">
        <v>1</v>
      </c>
      <c r="F14" s="15">
        <v>1</v>
      </c>
      <c r="G14" s="15">
        <v>0</v>
      </c>
      <c r="H14" s="16">
        <v>0</v>
      </c>
      <c r="J14" s="2">
        <f t="shared" si="0"/>
        <v>-3.3379038957846046</v>
      </c>
      <c r="K14" s="3">
        <f t="shared" si="1"/>
        <v>3.551131518132699E-2</v>
      </c>
      <c r="L14" s="13">
        <f t="shared" si="2"/>
        <v>0.29813005131189196</v>
      </c>
      <c r="M14" s="2">
        <f t="shared" si="3"/>
        <v>0</v>
      </c>
    </row>
    <row r="15" spans="2:13" x14ac:dyDescent="0.25">
      <c r="B15" s="14" t="s">
        <v>25</v>
      </c>
      <c r="C15" s="14" t="s">
        <v>26</v>
      </c>
      <c r="D15" s="15">
        <v>0</v>
      </c>
      <c r="E15" s="15">
        <v>1</v>
      </c>
      <c r="F15" s="15">
        <v>1</v>
      </c>
      <c r="G15" s="15">
        <v>1</v>
      </c>
      <c r="H15" s="16">
        <v>0</v>
      </c>
      <c r="J15" s="2">
        <f t="shared" si="0"/>
        <v>-5.8195894680877762</v>
      </c>
      <c r="K15" s="3">
        <f t="shared" si="1"/>
        <v>2.9688236915048011E-3</v>
      </c>
      <c r="L15" s="13">
        <f t="shared" si="2"/>
        <v>3.0540833133508954E-2</v>
      </c>
      <c r="M15" s="2">
        <f t="shared" si="3"/>
        <v>0</v>
      </c>
    </row>
    <row r="16" spans="2:13" x14ac:dyDescent="0.25">
      <c r="B16" s="14" t="s">
        <v>25</v>
      </c>
      <c r="C16" s="14" t="s">
        <v>25</v>
      </c>
      <c r="D16" s="15">
        <v>1</v>
      </c>
      <c r="E16" s="15">
        <v>1</v>
      </c>
      <c r="F16" s="15">
        <v>0</v>
      </c>
      <c r="G16" s="15">
        <v>0</v>
      </c>
      <c r="H16" s="16">
        <v>1</v>
      </c>
      <c r="J16" s="2">
        <f t="shared" si="0"/>
        <v>-2.361915691510136</v>
      </c>
      <c r="K16" s="3">
        <f t="shared" si="1"/>
        <v>9.4239516320917815E-2</v>
      </c>
      <c r="L16" s="13">
        <f t="shared" si="2"/>
        <v>0.96945916686649103</v>
      </c>
      <c r="M16" s="2">
        <f t="shared" si="3"/>
        <v>-1.3470478465648975E-2</v>
      </c>
    </row>
    <row r="17" spans="2:13" x14ac:dyDescent="0.25">
      <c r="B17" s="14" t="s">
        <v>27</v>
      </c>
      <c r="C17" s="14" t="s">
        <v>28</v>
      </c>
      <c r="D17" s="15">
        <v>0</v>
      </c>
      <c r="E17" s="15">
        <v>1</v>
      </c>
      <c r="F17" s="15">
        <v>1</v>
      </c>
      <c r="G17" s="15">
        <v>1</v>
      </c>
      <c r="H17" s="16">
        <v>0</v>
      </c>
      <c r="J17" s="2">
        <f t="shared" si="0"/>
        <v>-5.8195894680877762</v>
      </c>
      <c r="K17" s="3">
        <f t="shared" si="1"/>
        <v>2.9688236915048011E-3</v>
      </c>
      <c r="L17" s="13">
        <f t="shared" si="2"/>
        <v>2.9600358668954579E-3</v>
      </c>
      <c r="M17" s="2">
        <f t="shared" si="3"/>
        <v>0</v>
      </c>
    </row>
    <row r="18" spans="2:13" x14ac:dyDescent="0.25">
      <c r="B18" s="14" t="s">
        <v>27</v>
      </c>
      <c r="C18" s="14" t="s">
        <v>27</v>
      </c>
      <c r="D18" s="15">
        <v>1</v>
      </c>
      <c r="E18" s="15">
        <v>1</v>
      </c>
      <c r="F18" s="15">
        <v>0</v>
      </c>
      <c r="G18" s="15">
        <v>0</v>
      </c>
      <c r="H18" s="16">
        <v>0</v>
      </c>
      <c r="J18" s="2">
        <f t="shared" si="0"/>
        <v>0</v>
      </c>
      <c r="K18" s="3">
        <f t="shared" si="1"/>
        <v>1</v>
      </c>
      <c r="L18" s="13">
        <f t="shared" si="2"/>
        <v>0.99703996413310447</v>
      </c>
      <c r="M18" s="2">
        <f t="shared" si="3"/>
        <v>-1.2874336094734146E-3</v>
      </c>
    </row>
    <row r="19" spans="2:13" x14ac:dyDescent="0.25">
      <c r="B19" s="14" t="s">
        <v>29</v>
      </c>
      <c r="C19" s="14" t="s">
        <v>30</v>
      </c>
      <c r="D19" s="15">
        <v>0</v>
      </c>
      <c r="E19" s="15">
        <v>1</v>
      </c>
      <c r="F19" s="15">
        <v>1</v>
      </c>
      <c r="G19" s="15">
        <v>1</v>
      </c>
      <c r="H19" s="16">
        <v>0</v>
      </c>
      <c r="J19" s="2">
        <f t="shared" si="0"/>
        <v>-5.8195894680877762</v>
      </c>
      <c r="K19" s="3">
        <f t="shared" si="1"/>
        <v>2.9688236915048011E-3</v>
      </c>
      <c r="L19" s="13">
        <f t="shared" si="2"/>
        <v>3.0540833133508954E-2</v>
      </c>
      <c r="M19" s="2">
        <f t="shared" si="3"/>
        <v>0</v>
      </c>
    </row>
    <row r="20" spans="2:13" x14ac:dyDescent="0.25">
      <c r="B20" s="14" t="s">
        <v>29</v>
      </c>
      <c r="C20" s="14" t="s">
        <v>29</v>
      </c>
      <c r="D20" s="15">
        <v>1</v>
      </c>
      <c r="E20" s="15">
        <v>1</v>
      </c>
      <c r="F20" s="15">
        <v>0</v>
      </c>
      <c r="G20" s="15">
        <v>0</v>
      </c>
      <c r="H20" s="16">
        <v>1</v>
      </c>
      <c r="J20" s="2">
        <f t="shared" si="0"/>
        <v>-2.361915691510136</v>
      </c>
      <c r="K20" s="3">
        <f t="shared" si="1"/>
        <v>9.4239516320917815E-2</v>
      </c>
      <c r="L20" s="13">
        <f t="shared" si="2"/>
        <v>0.96945916686649103</v>
      </c>
      <c r="M20" s="2">
        <f t="shared" si="3"/>
        <v>-1.3470478465648975E-2</v>
      </c>
    </row>
    <row r="21" spans="2:13" x14ac:dyDescent="0.25">
      <c r="B21" s="14" t="s">
        <v>31</v>
      </c>
      <c r="C21" s="14" t="s">
        <v>32</v>
      </c>
      <c r="D21" s="15">
        <v>0</v>
      </c>
      <c r="E21" s="15">
        <v>1</v>
      </c>
      <c r="F21" s="15">
        <v>1</v>
      </c>
      <c r="G21" s="15">
        <v>1</v>
      </c>
      <c r="H21" s="16">
        <v>0</v>
      </c>
      <c r="J21" s="2">
        <f t="shared" si="0"/>
        <v>-5.8195894680877762</v>
      </c>
      <c r="K21" s="3">
        <f t="shared" si="1"/>
        <v>2.9688236915048011E-3</v>
      </c>
      <c r="L21" s="13">
        <f t="shared" si="2"/>
        <v>2.9600358668954579E-3</v>
      </c>
      <c r="M21" s="2">
        <f t="shared" si="3"/>
        <v>0</v>
      </c>
    </row>
    <row r="22" spans="2:13" x14ac:dyDescent="0.25">
      <c r="B22" s="14" t="s">
        <v>31</v>
      </c>
      <c r="C22" s="14" t="s">
        <v>31</v>
      </c>
      <c r="D22" s="15">
        <v>1</v>
      </c>
      <c r="E22" s="15">
        <v>1</v>
      </c>
      <c r="F22" s="15">
        <v>0</v>
      </c>
      <c r="G22" s="15">
        <v>0</v>
      </c>
      <c r="H22" s="16">
        <v>0</v>
      </c>
      <c r="J22" s="2">
        <f t="shared" si="0"/>
        <v>0</v>
      </c>
      <c r="K22" s="3">
        <f t="shared" si="1"/>
        <v>1</v>
      </c>
      <c r="L22" s="13">
        <f t="shared" si="2"/>
        <v>0.99703996413310447</v>
      </c>
      <c r="M22" s="2">
        <f t="shared" si="3"/>
        <v>-1.2874336094734146E-3</v>
      </c>
    </row>
    <row r="23" spans="2:13" x14ac:dyDescent="0.25">
      <c r="B23" s="14" t="s">
        <v>33</v>
      </c>
      <c r="C23" s="14" t="s">
        <v>33</v>
      </c>
      <c r="D23" s="15">
        <v>1</v>
      </c>
      <c r="E23" s="15">
        <v>1</v>
      </c>
      <c r="F23" s="15">
        <v>0</v>
      </c>
      <c r="G23" s="17">
        <v>1</v>
      </c>
      <c r="H23" s="16">
        <v>0</v>
      </c>
      <c r="J23" s="2">
        <f t="shared" si="0"/>
        <v>-2.4816855723031717</v>
      </c>
      <c r="K23" s="3">
        <f t="shared" si="1"/>
        <v>8.3602189227446749E-2</v>
      </c>
      <c r="L23" s="13">
        <f t="shared" si="2"/>
        <v>0.96151101834667774</v>
      </c>
      <c r="M23" s="2">
        <f t="shared" si="3"/>
        <v>-1.7045734639496227E-2</v>
      </c>
    </row>
    <row r="24" spans="2:13" x14ac:dyDescent="0.25">
      <c r="B24" s="14" t="s">
        <v>33</v>
      </c>
      <c r="C24" s="14" t="s">
        <v>34</v>
      </c>
      <c r="D24" s="15">
        <v>0</v>
      </c>
      <c r="E24" s="15">
        <v>1</v>
      </c>
      <c r="F24" s="15">
        <v>1</v>
      </c>
      <c r="G24" s="15">
        <v>0</v>
      </c>
      <c r="H24" s="16">
        <v>1</v>
      </c>
      <c r="J24" s="2">
        <f t="shared" si="0"/>
        <v>-5.6998195872947406</v>
      </c>
      <c r="K24" s="3">
        <f t="shared" si="1"/>
        <v>3.3465691666079217E-3</v>
      </c>
      <c r="L24" s="13">
        <f t="shared" si="2"/>
        <v>3.8488981653322284E-2</v>
      </c>
      <c r="M24" s="2">
        <f t="shared" si="3"/>
        <v>0</v>
      </c>
    </row>
    <row r="25" spans="2:13" x14ac:dyDescent="0.25">
      <c r="B25" s="14" t="s">
        <v>35</v>
      </c>
      <c r="C25" s="14" t="s">
        <v>35</v>
      </c>
      <c r="D25" s="15">
        <v>0</v>
      </c>
      <c r="E25" s="15">
        <v>1</v>
      </c>
      <c r="F25" s="15">
        <v>0</v>
      </c>
      <c r="G25" s="15">
        <v>1</v>
      </c>
      <c r="H25" s="16">
        <v>0</v>
      </c>
      <c r="J25" s="2">
        <f t="shared" si="0"/>
        <v>-2.4816855723031717</v>
      </c>
      <c r="K25" s="3">
        <f t="shared" si="1"/>
        <v>8.3602189227446749E-2</v>
      </c>
      <c r="L25" s="13">
        <f t="shared" si="2"/>
        <v>0.70186994868810793</v>
      </c>
      <c r="M25" s="2">
        <f t="shared" si="3"/>
        <v>0</v>
      </c>
    </row>
    <row r="26" spans="2:13" x14ac:dyDescent="0.25">
      <c r="B26" s="14" t="s">
        <v>35</v>
      </c>
      <c r="C26" s="14" t="s">
        <v>36</v>
      </c>
      <c r="D26" s="15">
        <v>1</v>
      </c>
      <c r="E26" s="15">
        <v>1</v>
      </c>
      <c r="F26" s="15">
        <v>1</v>
      </c>
      <c r="G26" s="15">
        <v>0</v>
      </c>
      <c r="H26" s="16">
        <v>0</v>
      </c>
      <c r="J26" s="2">
        <f t="shared" si="0"/>
        <v>-3.3379038957846046</v>
      </c>
      <c r="K26" s="3">
        <f t="shared" si="1"/>
        <v>3.551131518132699E-2</v>
      </c>
      <c r="L26" s="13">
        <f t="shared" si="2"/>
        <v>0.29813005131189196</v>
      </c>
      <c r="M26" s="2">
        <f t="shared" si="3"/>
        <v>-0.52559424516450293</v>
      </c>
    </row>
    <row r="27" spans="2:13" x14ac:dyDescent="0.25">
      <c r="B27" s="18" t="s">
        <v>37</v>
      </c>
      <c r="C27" s="18" t="s">
        <v>37</v>
      </c>
      <c r="D27" s="15">
        <v>1</v>
      </c>
      <c r="E27" s="15">
        <v>1</v>
      </c>
      <c r="F27" s="15">
        <v>0</v>
      </c>
      <c r="G27" s="15">
        <v>1</v>
      </c>
      <c r="H27" s="16">
        <v>0</v>
      </c>
      <c r="J27" s="2">
        <f t="shared" si="0"/>
        <v>-2.4816855723031717</v>
      </c>
      <c r="K27" s="3">
        <f t="shared" si="1"/>
        <v>8.3602189227446749E-2</v>
      </c>
      <c r="L27" s="13">
        <f t="shared" si="2"/>
        <v>0.96151101834667774</v>
      </c>
      <c r="M27" s="2">
        <f t="shared" si="3"/>
        <v>-1.7045734639496227E-2</v>
      </c>
    </row>
    <row r="28" spans="2:13" x14ac:dyDescent="0.25">
      <c r="B28" s="18" t="s">
        <v>37</v>
      </c>
      <c r="C28" s="18" t="s">
        <v>38</v>
      </c>
      <c r="D28" s="15">
        <v>0</v>
      </c>
      <c r="E28" s="15">
        <v>1</v>
      </c>
      <c r="F28" s="15">
        <v>1</v>
      </c>
      <c r="G28" s="15">
        <v>0</v>
      </c>
      <c r="H28" s="16">
        <v>1</v>
      </c>
      <c r="J28" s="2">
        <f t="shared" si="0"/>
        <v>-5.6998195872947406</v>
      </c>
      <c r="K28" s="3">
        <f t="shared" si="1"/>
        <v>3.3465691666079217E-3</v>
      </c>
      <c r="L28" s="13">
        <f t="shared" si="2"/>
        <v>3.8488981653322284E-2</v>
      </c>
      <c r="M28" s="2">
        <f t="shared" si="3"/>
        <v>0</v>
      </c>
    </row>
    <row r="29" spans="2:13" x14ac:dyDescent="0.25">
      <c r="B29" s="18" t="s">
        <v>39</v>
      </c>
      <c r="C29" s="18" t="s">
        <v>39</v>
      </c>
      <c r="D29" s="15">
        <v>0</v>
      </c>
      <c r="E29" s="15">
        <v>1</v>
      </c>
      <c r="F29" s="15">
        <v>0</v>
      </c>
      <c r="G29" s="15">
        <v>1</v>
      </c>
      <c r="H29" s="16">
        <v>0</v>
      </c>
      <c r="J29" s="2">
        <f t="shared" si="0"/>
        <v>-2.4816855723031717</v>
      </c>
      <c r="K29" s="3">
        <f t="shared" si="1"/>
        <v>8.3602189227446749E-2</v>
      </c>
      <c r="L29" s="13">
        <f t="shared" si="2"/>
        <v>0.70186994868810793</v>
      </c>
      <c r="M29" s="2">
        <f t="shared" si="3"/>
        <v>0</v>
      </c>
    </row>
    <row r="30" spans="2:13" x14ac:dyDescent="0.25">
      <c r="B30" s="18" t="s">
        <v>39</v>
      </c>
      <c r="C30" s="18" t="s">
        <v>40</v>
      </c>
      <c r="D30" s="15">
        <v>1</v>
      </c>
      <c r="E30" s="15">
        <v>1</v>
      </c>
      <c r="F30" s="15">
        <v>1</v>
      </c>
      <c r="G30" s="15">
        <v>0</v>
      </c>
      <c r="H30" s="16">
        <v>0</v>
      </c>
      <c r="J30" s="2">
        <f t="shared" si="0"/>
        <v>-3.3379038957846046</v>
      </c>
      <c r="K30" s="3">
        <f t="shared" si="1"/>
        <v>3.551131518132699E-2</v>
      </c>
      <c r="L30" s="13">
        <f t="shared" si="2"/>
        <v>0.29813005131189196</v>
      </c>
      <c r="M30" s="2">
        <f t="shared" si="3"/>
        <v>-0.52559424516450293</v>
      </c>
    </row>
    <row r="31" spans="2:13" x14ac:dyDescent="0.25">
      <c r="L31" s="13"/>
    </row>
    <row r="32" spans="2:13" x14ac:dyDescent="0.25">
      <c r="F32" s="1">
        <v>0</v>
      </c>
      <c r="G32" s="1">
        <v>0.95</v>
      </c>
      <c r="H32" s="1">
        <v>0.73</v>
      </c>
      <c r="L32" s="13"/>
    </row>
    <row r="33" spans="1:12" x14ac:dyDescent="0.25">
      <c r="A33" s="19" t="s">
        <v>41</v>
      </c>
      <c r="B33" t="s">
        <v>42</v>
      </c>
      <c r="C33" t="s">
        <v>42</v>
      </c>
      <c r="F33" s="1">
        <v>0</v>
      </c>
      <c r="G33" s="1">
        <v>1</v>
      </c>
      <c r="H33" s="1">
        <v>0</v>
      </c>
      <c r="J33" s="2">
        <f t="shared" ref="J33:J40" si="4">-SUMPRODUCT(F33:H33,F$32:H$32)</f>
        <v>-0.95</v>
      </c>
      <c r="K33" s="3">
        <f t="shared" ref="K33:K40" si="5">EXP(J33)</f>
        <v>0.38674102345450123</v>
      </c>
      <c r="L33" s="13">
        <f t="shared" ref="L33:L40" si="6">K33/SUMIF(B:B,B33,K:K)</f>
        <v>0.44522076489278523</v>
      </c>
    </row>
    <row r="34" spans="1:12" x14ac:dyDescent="0.25">
      <c r="B34" t="s">
        <v>42</v>
      </c>
      <c r="C34" t="s">
        <v>43</v>
      </c>
      <c r="F34" s="1">
        <v>1</v>
      </c>
      <c r="G34" s="1">
        <v>0</v>
      </c>
      <c r="H34" s="1">
        <v>1</v>
      </c>
      <c r="J34" s="2">
        <f t="shared" si="4"/>
        <v>-0.73</v>
      </c>
      <c r="K34" s="3">
        <f t="shared" si="5"/>
        <v>0.48190899009020244</v>
      </c>
      <c r="L34" s="13">
        <f t="shared" si="6"/>
        <v>0.55477923510721472</v>
      </c>
    </row>
    <row r="35" spans="1:12" x14ac:dyDescent="0.25">
      <c r="B35" t="s">
        <v>44</v>
      </c>
      <c r="C35" t="s">
        <v>44</v>
      </c>
      <c r="F35" s="1">
        <v>0</v>
      </c>
      <c r="G35" s="1">
        <v>1</v>
      </c>
      <c r="H35" s="1">
        <v>0</v>
      </c>
      <c r="J35" s="2">
        <f t="shared" si="4"/>
        <v>-0.95</v>
      </c>
      <c r="K35" s="3">
        <f t="shared" si="5"/>
        <v>0.38674102345450123</v>
      </c>
      <c r="L35" s="13">
        <f t="shared" si="6"/>
        <v>0.27888482197713693</v>
      </c>
    </row>
    <row r="36" spans="1:12" x14ac:dyDescent="0.25">
      <c r="B36" t="s">
        <v>44</v>
      </c>
      <c r="C36" t="s">
        <v>45</v>
      </c>
      <c r="F36" s="1">
        <v>1</v>
      </c>
      <c r="G36" s="1">
        <v>0</v>
      </c>
      <c r="H36" s="1">
        <v>0</v>
      </c>
      <c r="J36" s="2">
        <f t="shared" si="4"/>
        <v>0</v>
      </c>
      <c r="K36" s="3">
        <f t="shared" si="5"/>
        <v>1</v>
      </c>
      <c r="L36" s="13">
        <f t="shared" si="6"/>
        <v>0.72111517802286307</v>
      </c>
    </row>
    <row r="37" spans="1:12" x14ac:dyDescent="0.25">
      <c r="B37" t="s">
        <v>43</v>
      </c>
      <c r="C37" t="s">
        <v>42</v>
      </c>
      <c r="F37" s="1">
        <v>1</v>
      </c>
      <c r="G37" s="1">
        <v>1</v>
      </c>
      <c r="H37" s="1">
        <v>0</v>
      </c>
      <c r="J37" s="2">
        <f t="shared" si="4"/>
        <v>-0.95</v>
      </c>
      <c r="K37" s="3">
        <f t="shared" si="5"/>
        <v>0.38674102345450123</v>
      </c>
      <c r="L37" s="13">
        <f t="shared" si="6"/>
        <v>0.44522076489278523</v>
      </c>
    </row>
    <row r="38" spans="1:12" x14ac:dyDescent="0.25">
      <c r="B38" t="s">
        <v>43</v>
      </c>
      <c r="C38" t="s">
        <v>43</v>
      </c>
      <c r="F38" s="1">
        <v>0</v>
      </c>
      <c r="G38" s="1">
        <v>0</v>
      </c>
      <c r="H38" s="1">
        <v>1</v>
      </c>
      <c r="J38" s="2">
        <f t="shared" si="4"/>
        <v>-0.73</v>
      </c>
      <c r="K38" s="3">
        <f t="shared" si="5"/>
        <v>0.48190899009020244</v>
      </c>
      <c r="L38" s="13">
        <f t="shared" si="6"/>
        <v>0.55477923510721472</v>
      </c>
    </row>
    <row r="39" spans="1:12" x14ac:dyDescent="0.25">
      <c r="B39" t="s">
        <v>45</v>
      </c>
      <c r="C39" t="s">
        <v>44</v>
      </c>
      <c r="F39" s="1">
        <v>1</v>
      </c>
      <c r="G39" s="1">
        <v>1</v>
      </c>
      <c r="H39" s="1">
        <v>0</v>
      </c>
      <c r="J39" s="2">
        <f t="shared" si="4"/>
        <v>-0.95</v>
      </c>
      <c r="K39" s="3">
        <f t="shared" si="5"/>
        <v>0.38674102345450123</v>
      </c>
      <c r="L39" s="13">
        <f t="shared" si="6"/>
        <v>0.27888482197713693</v>
      </c>
    </row>
    <row r="40" spans="1:12" x14ac:dyDescent="0.25">
      <c r="B40" t="s">
        <v>45</v>
      </c>
      <c r="C40" t="s">
        <v>45</v>
      </c>
      <c r="F40" s="1">
        <v>0</v>
      </c>
      <c r="G40" s="1">
        <v>0</v>
      </c>
      <c r="H40" s="1">
        <v>0</v>
      </c>
      <c r="J40" s="2">
        <f t="shared" si="4"/>
        <v>0</v>
      </c>
      <c r="K40" s="3">
        <f t="shared" si="5"/>
        <v>1</v>
      </c>
      <c r="L40" s="13">
        <f t="shared" si="6"/>
        <v>0.72111517802286307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X35"/>
  <sheetViews>
    <sheetView topLeftCell="A2" zoomScale="150" zoomScaleNormal="150" workbookViewId="0">
      <selection activeCell="D36" sqref="D36"/>
    </sheetView>
  </sheetViews>
  <sheetFormatPr defaultColWidth="11.5546875" defaultRowHeight="13.2" x14ac:dyDescent="0.25"/>
  <cols>
    <col min="4" max="5" width="11.5546875" style="1"/>
    <col min="6" max="6" width="13.88671875" style="1" customWidth="1"/>
    <col min="7" max="7" width="8.33203125" style="1" customWidth="1"/>
    <col min="8" max="8" width="7.44140625" style="1" customWidth="1"/>
    <col min="9" max="9" width="18.88671875" style="1" customWidth="1"/>
    <col min="10" max="11" width="11.5546875" style="2"/>
    <col min="12" max="12" width="8" style="3" customWidth="1"/>
    <col min="13" max="13" width="11.5546875" style="4"/>
    <col min="14" max="32" width="11.5546875" style="2"/>
    <col min="33" max="1012" width="11.5546875" style="5"/>
  </cols>
  <sheetData>
    <row r="1" spans="2:14" x14ac:dyDescent="0.25">
      <c r="F1"/>
      <c r="G1"/>
      <c r="H1"/>
      <c r="I1"/>
    </row>
    <row r="2" spans="2:14" x14ac:dyDescent="0.25">
      <c r="B2" t="s">
        <v>0</v>
      </c>
      <c r="C2" t="s">
        <v>1</v>
      </c>
      <c r="E2" s="1" t="s">
        <v>2</v>
      </c>
      <c r="F2" s="1">
        <f>(F3-$B$3)*SQRT(2)/($C$3)^2</f>
        <v>3.6092327103260337E-5</v>
      </c>
      <c r="G2" s="1">
        <f>(G3-$B$3)*SQRT(2)/($C$3)^2</f>
        <v>2.6348732496240061E-5</v>
      </c>
      <c r="H2" s="1">
        <f>(H3-$B$3)*SQRT(2)/($C$3)^2</f>
        <v>9.3570090913517959E-7</v>
      </c>
      <c r="N2" s="2">
        <f>SUM(F2:I2)</f>
        <v>6.3376760508635584E-5</v>
      </c>
    </row>
    <row r="3" spans="2:14" x14ac:dyDescent="0.25">
      <c r="B3">
        <v>0</v>
      </c>
      <c r="C3">
        <v>100</v>
      </c>
      <c r="E3" s="1" t="s">
        <v>3</v>
      </c>
      <c r="F3" s="1">
        <f>(F4-$B$3)^2/2/$C$3</f>
        <v>0.25521129243518403</v>
      </c>
      <c r="G3" s="1">
        <f>(G4-$B$3)^2/2/$C$3</f>
        <v>0.18631367423761694</v>
      </c>
      <c r="H3" s="1">
        <f>(H4-$B$3)^2/2/$C$3</f>
        <v>6.6164045801190294E-3</v>
      </c>
      <c r="N3" s="2">
        <f>SUM(F3:I3)</f>
        <v>0.44814137125291997</v>
      </c>
    </row>
    <row r="4" spans="2:14" x14ac:dyDescent="0.25">
      <c r="E4" s="1" t="s">
        <v>4</v>
      </c>
      <c r="F4" s="1">
        <v>7.1443865017954344</v>
      </c>
      <c r="G4" s="1">
        <v>6.1043209980736917</v>
      </c>
      <c r="H4" s="1">
        <v>1.1503394785991681</v>
      </c>
      <c r="I4" s="1">
        <f>F4</f>
        <v>7.1443865017954344</v>
      </c>
      <c r="M4" s="6" t="s">
        <v>5</v>
      </c>
      <c r="N4" s="2">
        <f>SUM(N7:N26)-N3</f>
        <v>-0.44946746267077137</v>
      </c>
    </row>
    <row r="6" spans="2:14" x14ac:dyDescent="0.25">
      <c r="B6" s="7" t="s">
        <v>6</v>
      </c>
      <c r="C6" s="8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46</v>
      </c>
      <c r="K6" s="2" t="s">
        <v>13</v>
      </c>
      <c r="L6" s="3" t="s">
        <v>14</v>
      </c>
      <c r="M6" s="4" t="s">
        <v>15</v>
      </c>
      <c r="N6" s="2" t="s">
        <v>16</v>
      </c>
    </row>
    <row r="7" spans="2:14" x14ac:dyDescent="0.25">
      <c r="B7" s="10" t="s">
        <v>17</v>
      </c>
      <c r="C7" s="10" t="s">
        <v>17</v>
      </c>
      <c r="D7" s="11">
        <v>1</v>
      </c>
      <c r="E7" s="11">
        <v>1</v>
      </c>
      <c r="F7" s="11">
        <v>0</v>
      </c>
      <c r="G7" s="11">
        <v>1</v>
      </c>
      <c r="H7" s="12">
        <v>0</v>
      </c>
      <c r="I7" s="12">
        <v>0</v>
      </c>
      <c r="K7" s="2">
        <f t="shared" ref="K7:K30" si="0">-SUMPRODUCT(F7:I7,F$4:I$4)</f>
        <v>-6.1043209980736917</v>
      </c>
      <c r="L7" s="3">
        <f t="shared" ref="L7:L30" si="1">EXP(K7)</f>
        <v>2.2331972005836696E-3</v>
      </c>
      <c r="M7" s="13">
        <f t="shared" ref="M7:M30" si="2">L7/SUMIF(B:B,B7,L:L)</f>
        <v>0.99991170965313525</v>
      </c>
      <c r="N7" s="2">
        <f t="shared" ref="N7:N30" si="3">LOG(M7)*D7</f>
        <v>-3.8345703251315837E-5</v>
      </c>
    </row>
    <row r="8" spans="2:14" x14ac:dyDescent="0.25">
      <c r="B8" s="14" t="s">
        <v>17</v>
      </c>
      <c r="C8" s="14" t="s">
        <v>18</v>
      </c>
      <c r="D8" s="15">
        <v>0</v>
      </c>
      <c r="E8" s="15">
        <v>1</v>
      </c>
      <c r="F8" s="15">
        <v>1</v>
      </c>
      <c r="G8" s="15">
        <v>0</v>
      </c>
      <c r="H8" s="16">
        <v>1</v>
      </c>
      <c r="I8" s="16">
        <v>1</v>
      </c>
      <c r="K8" s="2">
        <f t="shared" si="0"/>
        <v>-15.439112482190037</v>
      </c>
      <c r="L8" s="3">
        <f t="shared" si="1"/>
        <v>1.9718716518001903E-7</v>
      </c>
      <c r="M8" s="13">
        <f t="shared" si="2"/>
        <v>8.8290346864699462E-5</v>
      </c>
      <c r="N8" s="2">
        <f t="shared" si="3"/>
        <v>0</v>
      </c>
    </row>
    <row r="9" spans="2:14" x14ac:dyDescent="0.25">
      <c r="B9" s="14" t="s">
        <v>19</v>
      </c>
      <c r="C9" s="14" t="s">
        <v>19</v>
      </c>
      <c r="D9" s="15">
        <v>1</v>
      </c>
      <c r="E9" s="15">
        <v>1</v>
      </c>
      <c r="F9" s="15">
        <v>0</v>
      </c>
      <c r="G9" s="15">
        <v>1</v>
      </c>
      <c r="H9" s="16">
        <v>0</v>
      </c>
      <c r="I9" s="16">
        <v>0</v>
      </c>
      <c r="K9" s="2">
        <f t="shared" si="0"/>
        <v>-6.1043209980736917</v>
      </c>
      <c r="L9" s="3">
        <f t="shared" si="1"/>
        <v>2.2331972005836696E-3</v>
      </c>
      <c r="M9" s="13">
        <f t="shared" si="2"/>
        <v>0.99972112054316731</v>
      </c>
      <c r="N9" s="2">
        <f t="shared" si="3"/>
        <v>-1.2113270071469264E-4</v>
      </c>
    </row>
    <row r="10" spans="2:14" x14ac:dyDescent="0.25">
      <c r="B10" s="14" t="s">
        <v>19</v>
      </c>
      <c r="C10" s="14" t="s">
        <v>20</v>
      </c>
      <c r="D10" s="15">
        <v>0</v>
      </c>
      <c r="E10" s="15">
        <v>1</v>
      </c>
      <c r="F10" s="15">
        <v>1</v>
      </c>
      <c r="G10" s="15">
        <v>0</v>
      </c>
      <c r="H10" s="16">
        <v>0</v>
      </c>
      <c r="I10" s="16">
        <v>1</v>
      </c>
      <c r="K10" s="2">
        <f t="shared" si="0"/>
        <v>-14.288773003590869</v>
      </c>
      <c r="L10" s="3">
        <f t="shared" si="1"/>
        <v>6.229665548736856E-7</v>
      </c>
      <c r="M10" s="13">
        <f t="shared" si="2"/>
        <v>2.7887945683277056E-4</v>
      </c>
      <c r="N10" s="2">
        <f t="shared" si="3"/>
        <v>0</v>
      </c>
    </row>
    <row r="11" spans="2:14" x14ac:dyDescent="0.25">
      <c r="B11" s="14" t="s">
        <v>21</v>
      </c>
      <c r="C11" s="14" t="s">
        <v>21</v>
      </c>
      <c r="D11" s="15">
        <v>1</v>
      </c>
      <c r="E11" s="15">
        <v>1</v>
      </c>
      <c r="F11" s="15">
        <v>0</v>
      </c>
      <c r="G11" s="15">
        <v>1</v>
      </c>
      <c r="H11" s="16">
        <v>0</v>
      </c>
      <c r="I11" s="16">
        <v>0</v>
      </c>
      <c r="K11" s="2">
        <f t="shared" si="0"/>
        <v>-6.1043209980736917</v>
      </c>
      <c r="L11" s="3">
        <f t="shared" si="1"/>
        <v>2.2331972005836696E-3</v>
      </c>
      <c r="M11" s="13">
        <f t="shared" si="2"/>
        <v>0.99991170965313525</v>
      </c>
      <c r="N11" s="2">
        <f t="shared" si="3"/>
        <v>-3.8345703251315837E-5</v>
      </c>
    </row>
    <row r="12" spans="2:14" x14ac:dyDescent="0.25">
      <c r="B12" s="14" t="s">
        <v>21</v>
      </c>
      <c r="C12" s="14" t="s">
        <v>22</v>
      </c>
      <c r="D12" s="15">
        <v>0</v>
      </c>
      <c r="E12" s="15">
        <v>1</v>
      </c>
      <c r="F12" s="15">
        <v>1</v>
      </c>
      <c r="G12" s="15">
        <v>0</v>
      </c>
      <c r="H12" s="16">
        <v>1</v>
      </c>
      <c r="I12" s="16">
        <v>1</v>
      </c>
      <c r="K12" s="2">
        <f t="shared" si="0"/>
        <v>-15.439112482190037</v>
      </c>
      <c r="L12" s="3">
        <f t="shared" si="1"/>
        <v>1.9718716518001903E-7</v>
      </c>
      <c r="M12" s="13">
        <f t="shared" si="2"/>
        <v>8.8290346864699462E-5</v>
      </c>
      <c r="N12" s="2">
        <f t="shared" si="3"/>
        <v>0</v>
      </c>
    </row>
    <row r="13" spans="2:14" x14ac:dyDescent="0.25">
      <c r="B13" s="14" t="s">
        <v>23</v>
      </c>
      <c r="C13" s="14" t="s">
        <v>23</v>
      </c>
      <c r="D13" s="15">
        <v>1</v>
      </c>
      <c r="E13" s="15">
        <v>1</v>
      </c>
      <c r="F13" s="15">
        <v>0</v>
      </c>
      <c r="G13" s="15">
        <v>1</v>
      </c>
      <c r="H13" s="16">
        <v>0</v>
      </c>
      <c r="I13" s="16">
        <v>0</v>
      </c>
      <c r="K13" s="2">
        <f t="shared" si="0"/>
        <v>-6.1043209980736917</v>
      </c>
      <c r="L13" s="3">
        <f t="shared" si="1"/>
        <v>2.2331972005836696E-3</v>
      </c>
      <c r="M13" s="13">
        <f t="shared" si="2"/>
        <v>0.99972112054316731</v>
      </c>
      <c r="N13" s="2">
        <f t="shared" si="3"/>
        <v>-1.2113270071469264E-4</v>
      </c>
    </row>
    <row r="14" spans="2:14" x14ac:dyDescent="0.25">
      <c r="B14" s="14" t="s">
        <v>23</v>
      </c>
      <c r="C14" s="14" t="s">
        <v>24</v>
      </c>
      <c r="D14" s="15">
        <v>0</v>
      </c>
      <c r="E14" s="15">
        <v>1</v>
      </c>
      <c r="F14" s="15">
        <v>1</v>
      </c>
      <c r="G14" s="15">
        <v>0</v>
      </c>
      <c r="H14" s="16">
        <v>0</v>
      </c>
      <c r="I14" s="16">
        <v>1</v>
      </c>
      <c r="K14" s="2">
        <f t="shared" si="0"/>
        <v>-14.288773003590869</v>
      </c>
      <c r="L14" s="3">
        <f t="shared" si="1"/>
        <v>6.229665548736856E-7</v>
      </c>
      <c r="M14" s="13">
        <f t="shared" si="2"/>
        <v>2.7887945683277056E-4</v>
      </c>
      <c r="N14" s="2">
        <f t="shared" si="3"/>
        <v>0</v>
      </c>
    </row>
    <row r="15" spans="2:14" x14ac:dyDescent="0.25">
      <c r="B15" s="14" t="s">
        <v>25</v>
      </c>
      <c r="C15" s="14" t="s">
        <v>26</v>
      </c>
      <c r="D15" s="15">
        <v>0</v>
      </c>
      <c r="E15" s="15">
        <v>1</v>
      </c>
      <c r="F15" s="15">
        <v>1</v>
      </c>
      <c r="G15" s="15">
        <v>1</v>
      </c>
      <c r="H15" s="16">
        <v>0</v>
      </c>
      <c r="I15" s="16">
        <v>1</v>
      </c>
      <c r="K15" s="2">
        <f t="shared" si="0"/>
        <v>-20.393094001664561</v>
      </c>
      <c r="L15" s="3">
        <f t="shared" si="1"/>
        <v>1.3912071664011663E-9</v>
      </c>
      <c r="M15" s="13">
        <f t="shared" si="2"/>
        <v>4.3951924100541379E-9</v>
      </c>
      <c r="N15" s="2">
        <f t="shared" si="3"/>
        <v>0</v>
      </c>
    </row>
    <row r="16" spans="2:14" x14ac:dyDescent="0.25">
      <c r="B16" s="14" t="s">
        <v>25</v>
      </c>
      <c r="C16" s="14" t="s">
        <v>25</v>
      </c>
      <c r="D16" s="15">
        <v>1</v>
      </c>
      <c r="E16" s="15">
        <v>1</v>
      </c>
      <c r="F16" s="15">
        <v>0</v>
      </c>
      <c r="G16" s="15">
        <v>0</v>
      </c>
      <c r="H16" s="16">
        <v>1</v>
      </c>
      <c r="I16" s="16">
        <v>0</v>
      </c>
      <c r="K16" s="2">
        <f t="shared" si="0"/>
        <v>-1.1503394785991681</v>
      </c>
      <c r="L16" s="3">
        <f t="shared" si="1"/>
        <v>0.31652929621559095</v>
      </c>
      <c r="M16" s="13">
        <f t="shared" si="2"/>
        <v>0.99999999560480768</v>
      </c>
      <c r="N16" s="2">
        <f t="shared" si="3"/>
        <v>-1.9088077761976164E-9</v>
      </c>
    </row>
    <row r="17" spans="2:14" x14ac:dyDescent="0.25">
      <c r="B17" s="14" t="s">
        <v>27</v>
      </c>
      <c r="C17" s="14" t="s">
        <v>28</v>
      </c>
      <c r="D17" s="15">
        <v>0</v>
      </c>
      <c r="E17" s="15">
        <v>1</v>
      </c>
      <c r="F17" s="15">
        <v>1</v>
      </c>
      <c r="G17" s="15">
        <v>1</v>
      </c>
      <c r="H17" s="16">
        <v>0</v>
      </c>
      <c r="I17" s="16">
        <v>1</v>
      </c>
      <c r="K17" s="2">
        <f t="shared" si="0"/>
        <v>-20.393094001664561</v>
      </c>
      <c r="L17" s="3">
        <f t="shared" si="1"/>
        <v>1.3912071664011663E-9</v>
      </c>
      <c r="M17" s="13">
        <f t="shared" si="2"/>
        <v>1.391207164465709E-9</v>
      </c>
      <c r="N17" s="2">
        <f t="shared" si="3"/>
        <v>0</v>
      </c>
    </row>
    <row r="18" spans="2:14" x14ac:dyDescent="0.25">
      <c r="B18" s="14" t="s">
        <v>27</v>
      </c>
      <c r="C18" s="14" t="s">
        <v>27</v>
      </c>
      <c r="D18" s="15">
        <v>1</v>
      </c>
      <c r="E18" s="15">
        <v>1</v>
      </c>
      <c r="F18" s="15">
        <v>0</v>
      </c>
      <c r="G18" s="15">
        <v>0</v>
      </c>
      <c r="H18" s="16">
        <v>0</v>
      </c>
      <c r="I18" s="16">
        <v>0</v>
      </c>
      <c r="K18" s="2">
        <f t="shared" si="0"/>
        <v>0</v>
      </c>
      <c r="L18" s="3">
        <f t="shared" si="1"/>
        <v>1</v>
      </c>
      <c r="M18" s="13">
        <f t="shared" si="2"/>
        <v>0.99999999860879285</v>
      </c>
      <c r="N18" s="2">
        <f t="shared" si="3"/>
        <v>-6.0419358862444189E-10</v>
      </c>
    </row>
    <row r="19" spans="2:14" x14ac:dyDescent="0.25">
      <c r="B19" s="14" t="s">
        <v>29</v>
      </c>
      <c r="C19" s="14" t="s">
        <v>30</v>
      </c>
      <c r="D19" s="15">
        <v>0</v>
      </c>
      <c r="E19" s="15">
        <v>1</v>
      </c>
      <c r="F19" s="15">
        <v>1</v>
      </c>
      <c r="G19" s="15">
        <v>1</v>
      </c>
      <c r="H19" s="16">
        <v>0</v>
      </c>
      <c r="I19" s="16">
        <v>1</v>
      </c>
      <c r="K19" s="2">
        <f t="shared" si="0"/>
        <v>-20.393094001664561</v>
      </c>
      <c r="L19" s="3">
        <f t="shared" si="1"/>
        <v>1.3912071664011663E-9</v>
      </c>
      <c r="M19" s="13">
        <f t="shared" si="2"/>
        <v>4.3951924100541379E-9</v>
      </c>
      <c r="N19" s="2">
        <f t="shared" si="3"/>
        <v>0</v>
      </c>
    </row>
    <row r="20" spans="2:14" x14ac:dyDescent="0.25">
      <c r="B20" s="14" t="s">
        <v>29</v>
      </c>
      <c r="C20" s="14" t="s">
        <v>29</v>
      </c>
      <c r="D20" s="15">
        <v>1</v>
      </c>
      <c r="E20" s="15">
        <v>1</v>
      </c>
      <c r="F20" s="15">
        <v>0</v>
      </c>
      <c r="G20" s="15">
        <v>0</v>
      </c>
      <c r="H20" s="16">
        <v>1</v>
      </c>
      <c r="I20" s="16">
        <v>0</v>
      </c>
      <c r="K20" s="2">
        <f t="shared" si="0"/>
        <v>-1.1503394785991681</v>
      </c>
      <c r="L20" s="3">
        <f t="shared" si="1"/>
        <v>0.31652929621559095</v>
      </c>
      <c r="M20" s="13">
        <f t="shared" si="2"/>
        <v>0.99999999560480768</v>
      </c>
      <c r="N20" s="2">
        <f t="shared" si="3"/>
        <v>-1.9088077761976164E-9</v>
      </c>
    </row>
    <row r="21" spans="2:14" x14ac:dyDescent="0.25">
      <c r="B21" s="14" t="s">
        <v>31</v>
      </c>
      <c r="C21" s="14" t="s">
        <v>32</v>
      </c>
      <c r="D21" s="15">
        <v>0</v>
      </c>
      <c r="E21" s="15">
        <v>1</v>
      </c>
      <c r="F21" s="15">
        <v>1</v>
      </c>
      <c r="G21" s="15">
        <v>1</v>
      </c>
      <c r="H21" s="16">
        <v>0</v>
      </c>
      <c r="I21" s="16">
        <v>1</v>
      </c>
      <c r="K21" s="2">
        <f t="shared" si="0"/>
        <v>-20.393094001664561</v>
      </c>
      <c r="L21" s="3">
        <f t="shared" si="1"/>
        <v>1.3912071664011663E-9</v>
      </c>
      <c r="M21" s="13">
        <f t="shared" si="2"/>
        <v>1.391207164465709E-9</v>
      </c>
      <c r="N21" s="2">
        <f t="shared" si="3"/>
        <v>0</v>
      </c>
    </row>
    <row r="22" spans="2:14" x14ac:dyDescent="0.25">
      <c r="B22" s="14" t="s">
        <v>31</v>
      </c>
      <c r="C22" s="14" t="s">
        <v>31</v>
      </c>
      <c r="D22" s="15">
        <v>1</v>
      </c>
      <c r="E22" s="15">
        <v>1</v>
      </c>
      <c r="F22" s="15">
        <v>0</v>
      </c>
      <c r="G22" s="15">
        <v>0</v>
      </c>
      <c r="H22" s="16">
        <v>0</v>
      </c>
      <c r="I22" s="16">
        <v>0</v>
      </c>
      <c r="K22" s="2">
        <f t="shared" si="0"/>
        <v>0</v>
      </c>
      <c r="L22" s="3">
        <f t="shared" si="1"/>
        <v>1</v>
      </c>
      <c r="M22" s="13">
        <f t="shared" si="2"/>
        <v>0.99999999860879285</v>
      </c>
      <c r="N22" s="2">
        <f t="shared" si="3"/>
        <v>-6.0419358862444189E-10</v>
      </c>
    </row>
    <row r="23" spans="2:14" x14ac:dyDescent="0.25">
      <c r="B23" s="14" t="s">
        <v>33</v>
      </c>
      <c r="C23" s="14" t="s">
        <v>33</v>
      </c>
      <c r="D23" s="15">
        <v>1</v>
      </c>
      <c r="E23" s="15">
        <v>1</v>
      </c>
      <c r="F23" s="15">
        <v>0</v>
      </c>
      <c r="G23" s="17">
        <v>1</v>
      </c>
      <c r="H23" s="16">
        <v>0</v>
      </c>
      <c r="I23" s="16">
        <v>0</v>
      </c>
      <c r="K23" s="2">
        <f t="shared" si="0"/>
        <v>-6.1043209980736917</v>
      </c>
      <c r="L23" s="3">
        <f t="shared" si="1"/>
        <v>2.2331972005836696E-3</v>
      </c>
      <c r="M23" s="13">
        <f t="shared" si="2"/>
        <v>0.99991170965313525</v>
      </c>
      <c r="N23" s="2">
        <f t="shared" si="3"/>
        <v>-3.8345703251315837E-5</v>
      </c>
    </row>
    <row r="24" spans="2:14" x14ac:dyDescent="0.25">
      <c r="B24" s="14" t="s">
        <v>33</v>
      </c>
      <c r="C24" s="14" t="s">
        <v>34</v>
      </c>
      <c r="D24" s="15">
        <v>0</v>
      </c>
      <c r="E24" s="15">
        <v>1</v>
      </c>
      <c r="F24" s="15">
        <v>1</v>
      </c>
      <c r="G24" s="15">
        <v>0</v>
      </c>
      <c r="H24" s="16">
        <v>1</v>
      </c>
      <c r="I24" s="16">
        <v>1</v>
      </c>
      <c r="K24" s="2">
        <f t="shared" si="0"/>
        <v>-15.439112482190037</v>
      </c>
      <c r="L24" s="3">
        <f t="shared" si="1"/>
        <v>1.9718716518001903E-7</v>
      </c>
      <c r="M24" s="13">
        <f t="shared" si="2"/>
        <v>8.8290346864699462E-5</v>
      </c>
      <c r="N24" s="2">
        <f t="shared" si="3"/>
        <v>0</v>
      </c>
    </row>
    <row r="25" spans="2:14" x14ac:dyDescent="0.25">
      <c r="B25" s="14" t="s">
        <v>35</v>
      </c>
      <c r="C25" s="14" t="s">
        <v>35</v>
      </c>
      <c r="D25" s="15">
        <v>0</v>
      </c>
      <c r="E25" s="15">
        <v>1</v>
      </c>
      <c r="F25" s="15">
        <v>0</v>
      </c>
      <c r="G25" s="15">
        <v>1</v>
      </c>
      <c r="H25" s="16">
        <v>0</v>
      </c>
      <c r="I25" s="16">
        <v>1</v>
      </c>
      <c r="K25" s="2">
        <f t="shared" si="0"/>
        <v>-13.248707499869127</v>
      </c>
      <c r="L25" s="3">
        <f t="shared" si="1"/>
        <v>1.7626230310077708E-6</v>
      </c>
      <c r="M25" s="13">
        <f t="shared" si="2"/>
        <v>2.2282211433640258E-3</v>
      </c>
      <c r="N25" s="2">
        <f t="shared" si="3"/>
        <v>0</v>
      </c>
    </row>
    <row r="26" spans="2:14" x14ac:dyDescent="0.25">
      <c r="B26" s="14" t="s">
        <v>35</v>
      </c>
      <c r="C26" s="14" t="s">
        <v>36</v>
      </c>
      <c r="D26" s="15">
        <v>1</v>
      </c>
      <c r="E26" s="15">
        <v>1</v>
      </c>
      <c r="F26" s="15">
        <v>1</v>
      </c>
      <c r="G26" s="15">
        <v>0</v>
      </c>
      <c r="H26" s="16">
        <v>0</v>
      </c>
      <c r="I26" s="16">
        <v>0</v>
      </c>
      <c r="K26" s="2">
        <f t="shared" si="0"/>
        <v>-7.1443865017954344</v>
      </c>
      <c r="L26" s="3">
        <f t="shared" si="1"/>
        <v>7.8928230366180489E-4</v>
      </c>
      <c r="M26" s="13">
        <f t="shared" si="2"/>
        <v>0.99777177885663604</v>
      </c>
      <c r="N26" s="2">
        <f t="shared" si="3"/>
        <v>-9.6878388066531527E-4</v>
      </c>
    </row>
    <row r="27" spans="2:14" x14ac:dyDescent="0.25">
      <c r="B27" s="18" t="s">
        <v>37</v>
      </c>
      <c r="C27" s="18" t="s">
        <v>37</v>
      </c>
      <c r="D27" s="15">
        <v>1</v>
      </c>
      <c r="E27" s="15">
        <v>1</v>
      </c>
      <c r="F27" s="15">
        <v>0</v>
      </c>
      <c r="G27" s="15">
        <v>1</v>
      </c>
      <c r="H27" s="16">
        <v>0</v>
      </c>
      <c r="I27" s="16">
        <v>0</v>
      </c>
      <c r="K27" s="2">
        <f t="shared" si="0"/>
        <v>-6.1043209980736917</v>
      </c>
      <c r="L27" s="3">
        <f t="shared" si="1"/>
        <v>2.2331972005836696E-3</v>
      </c>
      <c r="M27" s="13">
        <f t="shared" si="2"/>
        <v>0.99991170965313525</v>
      </c>
      <c r="N27" s="2">
        <f t="shared" si="3"/>
        <v>-3.8345703251315837E-5</v>
      </c>
    </row>
    <row r="28" spans="2:14" x14ac:dyDescent="0.25">
      <c r="B28" s="18" t="s">
        <v>37</v>
      </c>
      <c r="C28" s="18" t="s">
        <v>38</v>
      </c>
      <c r="D28" s="15">
        <v>0</v>
      </c>
      <c r="E28" s="15">
        <v>1</v>
      </c>
      <c r="F28" s="15">
        <v>1</v>
      </c>
      <c r="G28" s="15">
        <v>0</v>
      </c>
      <c r="H28" s="16">
        <v>1</v>
      </c>
      <c r="I28" s="16">
        <v>1</v>
      </c>
      <c r="K28" s="2">
        <f t="shared" si="0"/>
        <v>-15.439112482190037</v>
      </c>
      <c r="L28" s="3">
        <f t="shared" si="1"/>
        <v>1.9718716518001903E-7</v>
      </c>
      <c r="M28" s="13">
        <f t="shared" si="2"/>
        <v>8.8290346864699462E-5</v>
      </c>
      <c r="N28" s="2">
        <f t="shared" si="3"/>
        <v>0</v>
      </c>
    </row>
    <row r="29" spans="2:14" x14ac:dyDescent="0.25">
      <c r="B29" s="18" t="s">
        <v>39</v>
      </c>
      <c r="C29" s="18" t="s">
        <v>39</v>
      </c>
      <c r="D29" s="15">
        <v>0</v>
      </c>
      <c r="E29" s="15">
        <v>1</v>
      </c>
      <c r="F29" s="15">
        <v>0</v>
      </c>
      <c r="G29" s="15">
        <v>1</v>
      </c>
      <c r="H29" s="16">
        <v>0</v>
      </c>
      <c r="I29" s="16">
        <v>1</v>
      </c>
      <c r="K29" s="2">
        <f t="shared" si="0"/>
        <v>-13.248707499869127</v>
      </c>
      <c r="L29" s="3">
        <f t="shared" si="1"/>
        <v>1.7626230310077708E-6</v>
      </c>
      <c r="M29" s="13">
        <f t="shared" si="2"/>
        <v>2.2282211433640258E-3</v>
      </c>
      <c r="N29" s="2">
        <f t="shared" si="3"/>
        <v>0</v>
      </c>
    </row>
    <row r="30" spans="2:14" x14ac:dyDescent="0.25">
      <c r="B30" s="18" t="s">
        <v>39</v>
      </c>
      <c r="C30" s="18" t="s">
        <v>40</v>
      </c>
      <c r="D30" s="15">
        <v>1</v>
      </c>
      <c r="E30" s="15">
        <v>1</v>
      </c>
      <c r="F30" s="15">
        <v>1</v>
      </c>
      <c r="G30" s="15">
        <v>0</v>
      </c>
      <c r="H30" s="16">
        <v>0</v>
      </c>
      <c r="I30" s="16">
        <v>0</v>
      </c>
      <c r="K30" s="2">
        <f t="shared" si="0"/>
        <v>-7.1443865017954344</v>
      </c>
      <c r="L30" s="3">
        <f t="shared" si="1"/>
        <v>7.8928230366180489E-4</v>
      </c>
      <c r="M30" s="13">
        <f t="shared" si="2"/>
        <v>0.99777177885663604</v>
      </c>
      <c r="N30" s="2">
        <f t="shared" si="3"/>
        <v>-9.6878388066531527E-4</v>
      </c>
    </row>
    <row r="32" spans="2:14" x14ac:dyDescent="0.25">
      <c r="B32" s="60" t="s">
        <v>150</v>
      </c>
      <c r="C32" s="60" t="s">
        <v>151</v>
      </c>
      <c r="D32" s="1" t="s">
        <v>154</v>
      </c>
    </row>
    <row r="33" spans="4:9" ht="52.8" x14ac:dyDescent="0.25">
      <c r="D33" s="1" t="s">
        <v>152</v>
      </c>
      <c r="I33" s="20" t="s">
        <v>47</v>
      </c>
    </row>
    <row r="34" spans="4:9" x14ac:dyDescent="0.25">
      <c r="D34" s="1" t="s">
        <v>153</v>
      </c>
    </row>
    <row r="35" spans="4:9" x14ac:dyDescent="0.25">
      <c r="D35" s="1" t="s">
        <v>155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0D8E-7250-47FD-A4C0-A3C884A25C58}">
  <dimension ref="B2:N20"/>
  <sheetViews>
    <sheetView tabSelected="1" workbookViewId="0">
      <selection activeCell="H32" sqref="H32"/>
    </sheetView>
  </sheetViews>
  <sheetFormatPr defaultRowHeight="13.2" x14ac:dyDescent="0.25"/>
  <cols>
    <col min="5" max="8" width="2" customWidth="1"/>
    <col min="13" max="13" width="13.21875" customWidth="1"/>
  </cols>
  <sheetData>
    <row r="2" spans="2:14" x14ac:dyDescent="0.25">
      <c r="B2" t="s">
        <v>37</v>
      </c>
      <c r="C2" t="s">
        <v>157</v>
      </c>
    </row>
    <row r="3" spans="2:14" x14ac:dyDescent="0.25">
      <c r="B3" t="s">
        <v>170</v>
      </c>
      <c r="C3" t="s">
        <v>171</v>
      </c>
    </row>
    <row r="4" spans="2:14" x14ac:dyDescent="0.25">
      <c r="I4" t="s">
        <v>158</v>
      </c>
      <c r="J4" t="s">
        <v>11</v>
      </c>
      <c r="K4" t="s">
        <v>159</v>
      </c>
      <c r="L4" t="s">
        <v>160</v>
      </c>
      <c r="M4" t="s">
        <v>168</v>
      </c>
      <c r="N4" t="s">
        <v>169</v>
      </c>
    </row>
    <row r="5" spans="2:14" x14ac:dyDescent="0.25">
      <c r="B5" t="s">
        <v>161</v>
      </c>
      <c r="C5" t="s">
        <v>162</v>
      </c>
      <c r="D5" t="s">
        <v>166</v>
      </c>
    </row>
    <row r="6" spans="2:14" x14ac:dyDescent="0.25">
      <c r="D6" t="s">
        <v>167</v>
      </c>
      <c r="L6">
        <v>1</v>
      </c>
      <c r="N6">
        <v>1</v>
      </c>
    </row>
    <row r="7" spans="2:14" x14ac:dyDescent="0.25">
      <c r="D7" t="s">
        <v>156</v>
      </c>
      <c r="K7">
        <v>1</v>
      </c>
      <c r="M7">
        <v>1</v>
      </c>
    </row>
    <row r="8" spans="2:14" x14ac:dyDescent="0.25">
      <c r="D8" t="s">
        <v>157</v>
      </c>
      <c r="K8">
        <v>1</v>
      </c>
      <c r="L8">
        <v>1</v>
      </c>
      <c r="M8">
        <v>1</v>
      </c>
      <c r="N8">
        <v>1</v>
      </c>
    </row>
    <row r="9" spans="2:14" hidden="1" x14ac:dyDescent="0.25">
      <c r="C9" t="s">
        <v>163</v>
      </c>
      <c r="D9" t="s">
        <v>166</v>
      </c>
      <c r="N9">
        <v>1</v>
      </c>
    </row>
    <row r="10" spans="2:14" hidden="1" x14ac:dyDescent="0.25">
      <c r="D10" t="s">
        <v>167</v>
      </c>
      <c r="L10">
        <v>1</v>
      </c>
    </row>
    <row r="11" spans="2:14" hidden="1" x14ac:dyDescent="0.25">
      <c r="D11" t="s">
        <v>156</v>
      </c>
      <c r="K11">
        <v>1</v>
      </c>
      <c r="M11">
        <v>1</v>
      </c>
      <c r="N11">
        <v>1</v>
      </c>
    </row>
    <row r="12" spans="2:14" hidden="1" x14ac:dyDescent="0.25">
      <c r="D12" t="s">
        <v>157</v>
      </c>
      <c r="K12">
        <v>1</v>
      </c>
      <c r="L12">
        <v>1</v>
      </c>
      <c r="M12">
        <v>1</v>
      </c>
    </row>
    <row r="13" spans="2:14" hidden="1" x14ac:dyDescent="0.25">
      <c r="C13" t="s">
        <v>164</v>
      </c>
      <c r="D13" t="s">
        <v>166</v>
      </c>
      <c r="L13">
        <v>1</v>
      </c>
      <c r="M13">
        <v>1</v>
      </c>
    </row>
    <row r="14" spans="2:14" hidden="1" x14ac:dyDescent="0.25">
      <c r="D14" t="s">
        <v>167</v>
      </c>
      <c r="K14">
        <v>1</v>
      </c>
      <c r="M14">
        <v>1</v>
      </c>
      <c r="N14">
        <v>1</v>
      </c>
    </row>
    <row r="15" spans="2:14" hidden="1" x14ac:dyDescent="0.25">
      <c r="D15" t="s">
        <v>156</v>
      </c>
      <c r="K15">
        <v>1</v>
      </c>
      <c r="L15">
        <v>1</v>
      </c>
    </row>
    <row r="16" spans="2:14" hidden="1" x14ac:dyDescent="0.25">
      <c r="D16" t="s">
        <v>157</v>
      </c>
      <c r="N16">
        <v>1</v>
      </c>
    </row>
    <row r="17" spans="3:14" x14ac:dyDescent="0.25">
      <c r="C17" t="s">
        <v>165</v>
      </c>
      <c r="D17" t="s">
        <v>166</v>
      </c>
      <c r="M17">
        <v>1</v>
      </c>
      <c r="N17">
        <v>1</v>
      </c>
    </row>
    <row r="18" spans="3:14" x14ac:dyDescent="0.25">
      <c r="D18" t="s">
        <v>167</v>
      </c>
      <c r="L18">
        <v>1</v>
      </c>
      <c r="M18">
        <v>1</v>
      </c>
    </row>
    <row r="19" spans="3:14" x14ac:dyDescent="0.25">
      <c r="D19" t="s">
        <v>156</v>
      </c>
      <c r="K19">
        <v>1</v>
      </c>
      <c r="N19">
        <v>1</v>
      </c>
    </row>
    <row r="20" spans="3:14" x14ac:dyDescent="0.25">
      <c r="D20" t="s">
        <v>157</v>
      </c>
      <c r="K20">
        <v>1</v>
      </c>
      <c r="L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ML54"/>
  <sheetViews>
    <sheetView zoomScale="150" zoomScaleNormal="150" workbookViewId="0">
      <selection activeCell="AB4" sqref="AB4"/>
    </sheetView>
  </sheetViews>
  <sheetFormatPr defaultColWidth="11.5546875" defaultRowHeight="13.2" x14ac:dyDescent="0.25"/>
  <cols>
    <col min="3" max="3" width="17.109375" customWidth="1"/>
    <col min="4" max="5" width="3" style="1" customWidth="1"/>
    <col min="6" max="6" width="10.33203125" style="1" customWidth="1"/>
    <col min="7" max="7" width="8.33203125" style="1" customWidth="1"/>
    <col min="8" max="8" width="7.44140625" style="1" customWidth="1"/>
    <col min="9" max="20" width="11.44140625" style="1" customWidth="1"/>
    <col min="21" max="21" width="11.5546875" style="2"/>
    <col min="22" max="22" width="2.5546875" style="25" customWidth="1"/>
    <col min="23" max="24" width="11.5546875" style="2"/>
    <col min="25" max="25" width="8" style="3" customWidth="1"/>
    <col min="26" max="26" width="11.5546875" style="4"/>
    <col min="27" max="27" width="11.5546875" style="26"/>
    <col min="28" max="46" width="11.5546875" style="2"/>
    <col min="47" max="1026" width="11.5546875" style="5"/>
  </cols>
  <sheetData>
    <row r="1" spans="2:28" x14ac:dyDescent="0.25"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2:28" x14ac:dyDescent="0.25">
      <c r="B2" t="s">
        <v>0</v>
      </c>
      <c r="C2" t="s">
        <v>1</v>
      </c>
      <c r="E2" s="1" t="s">
        <v>2</v>
      </c>
      <c r="F2" s="1">
        <f t="shared" ref="F2:T2" si="0">(F3-$B$3)*SQRT(2)/($C$3)^2</f>
        <v>0</v>
      </c>
      <c r="G2" s="1">
        <f t="shared" si="0"/>
        <v>1.162489356073609E-13</v>
      </c>
      <c r="H2" s="1">
        <f t="shared" si="0"/>
        <v>4.649976951710227E-13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AA2" s="26" t="s">
        <v>2</v>
      </c>
      <c r="AB2" s="2">
        <f>SUM(F2:H2)</f>
        <v>5.8124663077838361E-13</v>
      </c>
    </row>
    <row r="3" spans="2:28" x14ac:dyDescent="0.25">
      <c r="B3">
        <v>0</v>
      </c>
      <c r="C3">
        <v>10000</v>
      </c>
      <c r="E3" s="1" t="s">
        <v>3</v>
      </c>
      <c r="F3" s="1">
        <f t="shared" ref="F3:T3" si="1">(F4-$B$3)^2/2/$C$3</f>
        <v>0</v>
      </c>
      <c r="G3" s="1">
        <f t="shared" si="1"/>
        <v>8.2200410673683196E-6</v>
      </c>
      <c r="H3" s="1">
        <f t="shared" si="1"/>
        <v>3.2880302349154526E-5</v>
      </c>
      <c r="I3" s="1">
        <f t="shared" si="1"/>
        <v>0</v>
      </c>
      <c r="J3" s="1">
        <f t="shared" si="1"/>
        <v>0</v>
      </c>
      <c r="K3" s="1">
        <f t="shared" si="1"/>
        <v>0</v>
      </c>
      <c r="L3" s="1">
        <f t="shared" si="1"/>
        <v>0</v>
      </c>
      <c r="M3" s="1">
        <f t="shared" si="1"/>
        <v>0</v>
      </c>
      <c r="N3" s="1">
        <f t="shared" si="1"/>
        <v>0</v>
      </c>
      <c r="O3" s="1">
        <f t="shared" si="1"/>
        <v>0</v>
      </c>
      <c r="P3" s="1">
        <f t="shared" si="1"/>
        <v>0</v>
      </c>
      <c r="Q3" s="1">
        <f t="shared" si="1"/>
        <v>0</v>
      </c>
      <c r="R3" s="1">
        <f t="shared" si="1"/>
        <v>0</v>
      </c>
      <c r="S3" s="1">
        <f t="shared" si="1"/>
        <v>0</v>
      </c>
      <c r="T3" s="1">
        <f t="shared" si="1"/>
        <v>0</v>
      </c>
      <c r="AA3" s="26" t="s">
        <v>3</v>
      </c>
      <c r="AB3" s="2">
        <f>SUM(F3:H3)</f>
        <v>4.1100343416522849E-5</v>
      </c>
    </row>
    <row r="4" spans="2:28" x14ac:dyDescent="0.25">
      <c r="E4" s="1" t="s">
        <v>4</v>
      </c>
      <c r="F4" s="1">
        <v>0</v>
      </c>
      <c r="G4" s="1">
        <v>0.40546371150494637</v>
      </c>
      <c r="H4" s="1">
        <v>0.81092912574594989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Z4" s="6" t="s">
        <v>5</v>
      </c>
      <c r="AA4" s="27"/>
      <c r="AB4" s="2">
        <f>SUM(AB7:AB44)-AB2</f>
        <v>-2.9228525323874024</v>
      </c>
    </row>
    <row r="6" spans="2:28" x14ac:dyDescent="0.25">
      <c r="B6" s="8" t="s">
        <v>6</v>
      </c>
      <c r="C6" s="8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48</v>
      </c>
      <c r="J6" s="9" t="s">
        <v>49</v>
      </c>
      <c r="K6" s="9" t="s">
        <v>50</v>
      </c>
      <c r="L6" s="9" t="s">
        <v>51</v>
      </c>
      <c r="M6" s="9" t="s">
        <v>52</v>
      </c>
      <c r="N6" s="9" t="s">
        <v>53</v>
      </c>
      <c r="O6" s="9" t="s">
        <v>54</v>
      </c>
      <c r="P6" s="9" t="s">
        <v>55</v>
      </c>
      <c r="Q6" s="9" t="s">
        <v>56</v>
      </c>
      <c r="R6" s="9" t="s">
        <v>57</v>
      </c>
      <c r="S6" s="9" t="s">
        <v>58</v>
      </c>
      <c r="T6" s="9" t="s">
        <v>59</v>
      </c>
      <c r="W6" s="2" t="s">
        <v>127</v>
      </c>
      <c r="X6" s="2" t="s">
        <v>13</v>
      </c>
      <c r="Y6" s="3" t="s">
        <v>14</v>
      </c>
      <c r="Z6" s="4" t="s">
        <v>15</v>
      </c>
      <c r="AA6" s="26" t="s">
        <v>126</v>
      </c>
      <c r="AB6" s="2" t="s">
        <v>16</v>
      </c>
    </row>
    <row r="7" spans="2:28" x14ac:dyDescent="0.25">
      <c r="B7" s="10" t="s">
        <v>17</v>
      </c>
      <c r="C7" s="10" t="s">
        <v>60</v>
      </c>
      <c r="D7" s="11">
        <v>1</v>
      </c>
      <c r="E7" s="11">
        <v>1</v>
      </c>
      <c r="F7" s="11">
        <v>0</v>
      </c>
      <c r="G7" s="11">
        <v>1</v>
      </c>
      <c r="H7" s="12">
        <v>0</v>
      </c>
      <c r="I7" s="12">
        <v>1</v>
      </c>
      <c r="J7" s="12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" t="s">
        <v>17</v>
      </c>
      <c r="V7" s="25">
        <f>D7+D9</f>
        <v>2</v>
      </c>
      <c r="W7" s="2">
        <f>V7/SUM(V7:V8)</f>
        <v>1</v>
      </c>
      <c r="X7" s="2">
        <f t="shared" ref="X7:X54" si="2">-SUMPRODUCT(F7:T7,F$4:T$4)</f>
        <v>-0.40546371150494637</v>
      </c>
      <c r="Y7" s="3">
        <f t="shared" ref="Y7:Y54" si="3">EXP(X7)</f>
        <v>0.66666759773612883</v>
      </c>
      <c r="Z7" s="13">
        <f t="shared" ref="Z7:Z54" si="4">Y7/SUMIF(B:B,B7,Y:Y)</f>
        <v>0.30000003673593961</v>
      </c>
      <c r="AA7" s="28">
        <f>Z7+Z9</f>
        <v>0.60000007347187923</v>
      </c>
      <c r="AB7" s="2">
        <f>IF(ISERROR(LOG(AA7)*W7),"",LOG(AA7)*W7)</f>
        <v>-0.22184869643564009</v>
      </c>
    </row>
    <row r="8" spans="2:28" x14ac:dyDescent="0.25">
      <c r="B8" s="14" t="s">
        <v>17</v>
      </c>
      <c r="C8" s="22" t="s">
        <v>61</v>
      </c>
      <c r="D8" s="15">
        <v>0</v>
      </c>
      <c r="E8" s="15">
        <v>1</v>
      </c>
      <c r="F8" s="15">
        <v>1</v>
      </c>
      <c r="G8" s="15">
        <v>0</v>
      </c>
      <c r="H8" s="16">
        <v>1</v>
      </c>
      <c r="I8" s="16">
        <v>1</v>
      </c>
      <c r="J8" s="16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" t="s">
        <v>18</v>
      </c>
      <c r="V8" s="25">
        <f>D8+D10</f>
        <v>0</v>
      </c>
      <c r="W8" s="2">
        <f>V8/SUM(V7:V8)</f>
        <v>0</v>
      </c>
      <c r="X8" s="2">
        <f t="shared" si="2"/>
        <v>-0.81092912574594989</v>
      </c>
      <c r="Y8" s="3">
        <f t="shared" si="3"/>
        <v>0.44444492909821043</v>
      </c>
      <c r="Z8" s="13">
        <f t="shared" si="4"/>
        <v>0.19999996326406044</v>
      </c>
      <c r="AA8" s="28">
        <f>Z8+Z10</f>
        <v>0.39999992652812089</v>
      </c>
      <c r="AB8" s="2">
        <f t="shared" ref="AB8:AB54" si="5">IF(ISERROR(LOG(AA8)*W8),"",LOG(AA8)*W8)</f>
        <v>0</v>
      </c>
    </row>
    <row r="9" spans="2:28" x14ac:dyDescent="0.25">
      <c r="B9" s="18" t="s">
        <v>17</v>
      </c>
      <c r="C9" s="24" t="s">
        <v>62</v>
      </c>
      <c r="D9" s="15">
        <v>1</v>
      </c>
      <c r="E9" s="15">
        <v>1</v>
      </c>
      <c r="F9" s="15">
        <v>1</v>
      </c>
      <c r="G9" s="15">
        <v>1</v>
      </c>
      <c r="H9" s="15">
        <v>0</v>
      </c>
      <c r="I9" s="15">
        <v>0</v>
      </c>
      <c r="J9" s="15">
        <v>1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X9" s="2">
        <f t="shared" si="2"/>
        <v>-0.40546371150494637</v>
      </c>
      <c r="Y9" s="3">
        <f t="shared" si="3"/>
        <v>0.66666759773612883</v>
      </c>
      <c r="Z9" s="13">
        <f t="shared" si="4"/>
        <v>0.30000003673593961</v>
      </c>
      <c r="AA9" s="28"/>
      <c r="AB9" s="2" t="str">
        <f t="shared" si="5"/>
        <v/>
      </c>
    </row>
    <row r="10" spans="2:28" x14ac:dyDescent="0.25">
      <c r="B10" s="18" t="s">
        <v>17</v>
      </c>
      <c r="C10" s="24" t="s">
        <v>63</v>
      </c>
      <c r="D10" s="15">
        <v>0</v>
      </c>
      <c r="E10" s="15">
        <v>1</v>
      </c>
      <c r="F10" s="15">
        <v>0</v>
      </c>
      <c r="G10" s="15">
        <v>0</v>
      </c>
      <c r="H10" s="15">
        <v>1</v>
      </c>
      <c r="I10" s="15">
        <v>0</v>
      </c>
      <c r="J10" s="15">
        <v>1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X10" s="2">
        <f t="shared" si="2"/>
        <v>-0.81092912574594989</v>
      </c>
      <c r="Y10" s="3">
        <f t="shared" si="3"/>
        <v>0.44444492909821043</v>
      </c>
      <c r="Z10" s="13">
        <f t="shared" si="4"/>
        <v>0.19999996326406044</v>
      </c>
      <c r="AA10" s="28"/>
      <c r="AB10" s="2" t="str">
        <f t="shared" si="5"/>
        <v/>
      </c>
    </row>
    <row r="11" spans="2:28" x14ac:dyDescent="0.25">
      <c r="B11" s="14" t="s">
        <v>19</v>
      </c>
      <c r="C11" s="22" t="s">
        <v>64</v>
      </c>
      <c r="D11" s="15">
        <v>1</v>
      </c>
      <c r="E11" s="15">
        <v>1</v>
      </c>
      <c r="F11" s="15">
        <v>0</v>
      </c>
      <c r="G11" s="15">
        <v>1</v>
      </c>
      <c r="H11" s="16">
        <v>0</v>
      </c>
      <c r="I11" s="16">
        <v>1</v>
      </c>
      <c r="J11" s="16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" t="s">
        <v>19</v>
      </c>
      <c r="V11" s="25">
        <f>D11+D13</f>
        <v>2</v>
      </c>
      <c r="W11" s="2">
        <f>V11/SUM(V11:V12)</f>
        <v>1</v>
      </c>
      <c r="X11" s="2">
        <f t="shared" si="2"/>
        <v>-0.40546371150494637</v>
      </c>
      <c r="Y11" s="3">
        <f t="shared" si="3"/>
        <v>0.66666759773612883</v>
      </c>
      <c r="Z11" s="13">
        <f t="shared" si="4"/>
        <v>0.20000016759240954</v>
      </c>
      <c r="AA11" s="28">
        <f>Z11+Z13</f>
        <v>0.40000033518481909</v>
      </c>
      <c r="AB11" s="2">
        <f t="shared" si="5"/>
        <v>-0.39793964474989674</v>
      </c>
    </row>
    <row r="12" spans="2:28" x14ac:dyDescent="0.25">
      <c r="B12" s="14" t="s">
        <v>19</v>
      </c>
      <c r="C12" s="22" t="s">
        <v>65</v>
      </c>
      <c r="D12" s="15">
        <v>0</v>
      </c>
      <c r="E12" s="15">
        <v>1</v>
      </c>
      <c r="F12" s="15">
        <v>1</v>
      </c>
      <c r="G12" s="15">
        <v>0</v>
      </c>
      <c r="H12" s="16">
        <v>0</v>
      </c>
      <c r="I12" s="16">
        <v>1</v>
      </c>
      <c r="J12" s="16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" t="s">
        <v>20</v>
      </c>
      <c r="V12" s="25">
        <f>D12+D14</f>
        <v>0</v>
      </c>
      <c r="W12" s="2">
        <f>V12/SUM(V11:V12)</f>
        <v>0</v>
      </c>
      <c r="X12" s="2">
        <f t="shared" si="2"/>
        <v>0</v>
      </c>
      <c r="Y12" s="3">
        <f t="shared" si="3"/>
        <v>1</v>
      </c>
      <c r="Z12" s="13">
        <f t="shared" si="4"/>
        <v>0.29999983240759043</v>
      </c>
      <c r="AA12" s="28">
        <f>Z12+Z14</f>
        <v>0.59999966481518086</v>
      </c>
      <c r="AB12" s="2">
        <f t="shared" si="5"/>
        <v>0</v>
      </c>
    </row>
    <row r="13" spans="2:28" x14ac:dyDescent="0.25">
      <c r="B13" s="14" t="s">
        <v>19</v>
      </c>
      <c r="C13" s="22" t="s">
        <v>66</v>
      </c>
      <c r="D13" s="15">
        <v>1</v>
      </c>
      <c r="E13" s="15">
        <v>1</v>
      </c>
      <c r="F13" s="15">
        <v>1</v>
      </c>
      <c r="G13" s="15">
        <v>1</v>
      </c>
      <c r="H13" s="16">
        <v>0</v>
      </c>
      <c r="I13" s="16">
        <v>0</v>
      </c>
      <c r="J13" s="16">
        <v>1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X13" s="2">
        <f t="shared" si="2"/>
        <v>-0.40546371150494637</v>
      </c>
      <c r="Y13" s="3">
        <f t="shared" si="3"/>
        <v>0.66666759773612883</v>
      </c>
      <c r="Z13" s="13">
        <f t="shared" si="4"/>
        <v>0.20000016759240954</v>
      </c>
      <c r="AA13" s="28"/>
      <c r="AB13" s="2" t="str">
        <f t="shared" si="5"/>
        <v/>
      </c>
    </row>
    <row r="14" spans="2:28" x14ac:dyDescent="0.25">
      <c r="B14" s="14" t="s">
        <v>19</v>
      </c>
      <c r="C14" s="22" t="s">
        <v>67</v>
      </c>
      <c r="D14" s="15">
        <v>0</v>
      </c>
      <c r="E14" s="15">
        <v>1</v>
      </c>
      <c r="F14" s="15">
        <v>0</v>
      </c>
      <c r="G14" s="15">
        <v>0</v>
      </c>
      <c r="H14" s="16">
        <v>0</v>
      </c>
      <c r="I14" s="16">
        <v>0</v>
      </c>
      <c r="J14" s="16">
        <v>1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X14" s="2">
        <f t="shared" si="2"/>
        <v>0</v>
      </c>
      <c r="Y14" s="3">
        <f t="shared" si="3"/>
        <v>1</v>
      </c>
      <c r="Z14" s="13">
        <f t="shared" si="4"/>
        <v>0.29999983240759043</v>
      </c>
      <c r="AA14" s="28"/>
      <c r="AB14" s="2" t="str">
        <f t="shared" si="5"/>
        <v/>
      </c>
    </row>
    <row r="15" spans="2:28" x14ac:dyDescent="0.25">
      <c r="B15" s="14" t="s">
        <v>21</v>
      </c>
      <c r="C15" s="22" t="s">
        <v>68</v>
      </c>
      <c r="D15" s="15">
        <v>1</v>
      </c>
      <c r="E15" s="15">
        <v>1</v>
      </c>
      <c r="F15" s="15">
        <v>0</v>
      </c>
      <c r="G15" s="15">
        <v>1</v>
      </c>
      <c r="H15" s="16">
        <v>0</v>
      </c>
      <c r="I15" s="23">
        <v>0</v>
      </c>
      <c r="J15" s="23">
        <v>0</v>
      </c>
      <c r="K15" s="16">
        <v>1</v>
      </c>
      <c r="L15" s="16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" t="s">
        <v>21</v>
      </c>
      <c r="V15" s="25">
        <f>D15+D17</f>
        <v>2</v>
      </c>
      <c r="W15" s="2">
        <f>V15/SUM(V15:V16)</f>
        <v>1</v>
      </c>
      <c r="X15" s="2">
        <f t="shared" si="2"/>
        <v>-0.40546371150494637</v>
      </c>
      <c r="Y15" s="3">
        <f t="shared" si="3"/>
        <v>0.66666759773612883</v>
      </c>
      <c r="Z15" s="13">
        <f t="shared" si="4"/>
        <v>0.30000003673593961</v>
      </c>
      <c r="AA15" s="28">
        <f>Z15+Z17</f>
        <v>0.60000007347187923</v>
      </c>
      <c r="AB15" s="2">
        <f t="shared" si="5"/>
        <v>-0.22184869643564009</v>
      </c>
    </row>
    <row r="16" spans="2:28" x14ac:dyDescent="0.25">
      <c r="B16" s="14" t="s">
        <v>21</v>
      </c>
      <c r="C16" s="22" t="s">
        <v>69</v>
      </c>
      <c r="D16" s="15">
        <v>0</v>
      </c>
      <c r="E16" s="15">
        <v>1</v>
      </c>
      <c r="F16" s="15">
        <v>1</v>
      </c>
      <c r="G16" s="15">
        <v>0</v>
      </c>
      <c r="H16" s="16">
        <v>1</v>
      </c>
      <c r="I16" s="23">
        <v>0</v>
      </c>
      <c r="J16" s="23">
        <v>0</v>
      </c>
      <c r="K16" s="16">
        <v>1</v>
      </c>
      <c r="L16" s="16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" t="s">
        <v>22</v>
      </c>
      <c r="V16" s="25">
        <f>D16+D18</f>
        <v>0</v>
      </c>
      <c r="W16" s="2">
        <f>V16/SUM(V15:V16)</f>
        <v>0</v>
      </c>
      <c r="X16" s="2">
        <f t="shared" si="2"/>
        <v>-0.81092912574594989</v>
      </c>
      <c r="Y16" s="3">
        <f t="shared" si="3"/>
        <v>0.44444492909821043</v>
      </c>
      <c r="Z16" s="13">
        <f t="shared" si="4"/>
        <v>0.19999996326406044</v>
      </c>
      <c r="AA16" s="28">
        <f>Z16+Z18</f>
        <v>0.39999992652812089</v>
      </c>
      <c r="AB16" s="2">
        <f t="shared" si="5"/>
        <v>0</v>
      </c>
    </row>
    <row r="17" spans="2:28" x14ac:dyDescent="0.25">
      <c r="B17" s="14" t="s">
        <v>21</v>
      </c>
      <c r="C17" s="22" t="s">
        <v>70</v>
      </c>
      <c r="D17" s="15">
        <v>1</v>
      </c>
      <c r="E17" s="15">
        <v>1</v>
      </c>
      <c r="F17" s="15">
        <v>1</v>
      </c>
      <c r="G17" s="15">
        <v>1</v>
      </c>
      <c r="H17" s="16">
        <v>0</v>
      </c>
      <c r="I17" s="23">
        <v>0</v>
      </c>
      <c r="J17" s="23">
        <v>0</v>
      </c>
      <c r="K17" s="16">
        <v>0</v>
      </c>
      <c r="L17" s="16">
        <v>1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X17" s="2">
        <f t="shared" si="2"/>
        <v>-0.40546371150494637</v>
      </c>
      <c r="Y17" s="3">
        <f t="shared" si="3"/>
        <v>0.66666759773612883</v>
      </c>
      <c r="Z17" s="13">
        <f t="shared" si="4"/>
        <v>0.30000003673593961</v>
      </c>
      <c r="AA17" s="28"/>
      <c r="AB17" s="2" t="str">
        <f t="shared" si="5"/>
        <v/>
      </c>
    </row>
    <row r="18" spans="2:28" x14ac:dyDescent="0.25">
      <c r="B18" s="14" t="s">
        <v>21</v>
      </c>
      <c r="C18" s="22" t="s">
        <v>71</v>
      </c>
      <c r="D18" s="15">
        <v>0</v>
      </c>
      <c r="E18" s="15">
        <v>1</v>
      </c>
      <c r="F18" s="15">
        <v>0</v>
      </c>
      <c r="G18" s="15">
        <v>0</v>
      </c>
      <c r="H18" s="16">
        <v>1</v>
      </c>
      <c r="I18" s="23">
        <v>0</v>
      </c>
      <c r="J18" s="23">
        <v>0</v>
      </c>
      <c r="K18" s="16">
        <v>0</v>
      </c>
      <c r="L18" s="16">
        <v>1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X18" s="2">
        <f t="shared" si="2"/>
        <v>-0.81092912574594989</v>
      </c>
      <c r="Y18" s="3">
        <f t="shared" si="3"/>
        <v>0.44444492909821043</v>
      </c>
      <c r="Z18" s="13">
        <f t="shared" si="4"/>
        <v>0.19999996326406044</v>
      </c>
      <c r="AA18" s="28"/>
      <c r="AB18" s="2" t="str">
        <f t="shared" si="5"/>
        <v/>
      </c>
    </row>
    <row r="19" spans="2:28" x14ac:dyDescent="0.25">
      <c r="B19" s="14" t="s">
        <v>23</v>
      </c>
      <c r="C19" s="22" t="s">
        <v>72</v>
      </c>
      <c r="D19" s="15">
        <v>1</v>
      </c>
      <c r="E19" s="15">
        <v>1</v>
      </c>
      <c r="F19" s="15">
        <v>0</v>
      </c>
      <c r="G19" s="15">
        <v>1</v>
      </c>
      <c r="H19" s="16">
        <v>0</v>
      </c>
      <c r="I19" s="23">
        <v>0</v>
      </c>
      <c r="J19" s="23">
        <v>0</v>
      </c>
      <c r="K19" s="16">
        <v>1</v>
      </c>
      <c r="L19" s="16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" t="s">
        <v>23</v>
      </c>
      <c r="V19" s="25">
        <f>D19+D21</f>
        <v>2</v>
      </c>
      <c r="W19" s="2">
        <f>V19/SUM(V19:V20)</f>
        <v>1</v>
      </c>
      <c r="X19" s="2">
        <f t="shared" si="2"/>
        <v>-0.40546371150494637</v>
      </c>
      <c r="Y19" s="3">
        <f t="shared" si="3"/>
        <v>0.66666759773612883</v>
      </c>
      <c r="Z19" s="13">
        <f t="shared" si="4"/>
        <v>0.20000016759240954</v>
      </c>
      <c r="AA19" s="28">
        <f>Z19+Z21</f>
        <v>0.40000033518481909</v>
      </c>
      <c r="AB19" s="2">
        <f t="shared" si="5"/>
        <v>-0.39793964474989674</v>
      </c>
    </row>
    <row r="20" spans="2:28" x14ac:dyDescent="0.25">
      <c r="B20" s="14" t="s">
        <v>23</v>
      </c>
      <c r="C20" s="22" t="s">
        <v>73</v>
      </c>
      <c r="D20" s="15">
        <v>0</v>
      </c>
      <c r="E20" s="15">
        <v>1</v>
      </c>
      <c r="F20" s="15">
        <v>1</v>
      </c>
      <c r="G20" s="15">
        <v>0</v>
      </c>
      <c r="H20" s="16">
        <v>0</v>
      </c>
      <c r="I20" s="23">
        <v>0</v>
      </c>
      <c r="J20" s="23">
        <v>0</v>
      </c>
      <c r="K20" s="16">
        <v>1</v>
      </c>
      <c r="L20" s="16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" t="s">
        <v>24</v>
      </c>
      <c r="V20" s="25">
        <f>D20+D22</f>
        <v>0</v>
      </c>
      <c r="W20" s="2">
        <f>V20/SUM(V19:V20)</f>
        <v>0</v>
      </c>
      <c r="X20" s="2">
        <f t="shared" si="2"/>
        <v>0</v>
      </c>
      <c r="Y20" s="3">
        <f t="shared" si="3"/>
        <v>1</v>
      </c>
      <c r="Z20" s="13">
        <f t="shared" si="4"/>
        <v>0.29999983240759043</v>
      </c>
      <c r="AA20" s="28">
        <f>Z20+Z22</f>
        <v>0.59999966481518086</v>
      </c>
      <c r="AB20" s="2">
        <f t="shared" si="5"/>
        <v>0</v>
      </c>
    </row>
    <row r="21" spans="2:28" x14ac:dyDescent="0.25">
      <c r="B21" s="14" t="s">
        <v>23</v>
      </c>
      <c r="C21" s="22" t="s">
        <v>74</v>
      </c>
      <c r="D21" s="15">
        <v>1</v>
      </c>
      <c r="E21" s="15">
        <v>1</v>
      </c>
      <c r="F21" s="15">
        <v>1</v>
      </c>
      <c r="G21" s="15">
        <v>1</v>
      </c>
      <c r="H21" s="16">
        <v>0</v>
      </c>
      <c r="I21" s="23">
        <v>0</v>
      </c>
      <c r="J21" s="23">
        <v>0</v>
      </c>
      <c r="K21" s="16">
        <v>0</v>
      </c>
      <c r="L21" s="16">
        <v>1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X21" s="2">
        <f t="shared" si="2"/>
        <v>-0.40546371150494637</v>
      </c>
      <c r="Y21" s="3">
        <f t="shared" si="3"/>
        <v>0.66666759773612883</v>
      </c>
      <c r="Z21" s="13">
        <f t="shared" si="4"/>
        <v>0.20000016759240954</v>
      </c>
      <c r="AA21" s="28"/>
      <c r="AB21" s="2" t="str">
        <f t="shared" si="5"/>
        <v/>
      </c>
    </row>
    <row r="22" spans="2:28" x14ac:dyDescent="0.25">
      <c r="B22" s="14" t="s">
        <v>23</v>
      </c>
      <c r="C22" s="22" t="s">
        <v>75</v>
      </c>
      <c r="D22" s="15">
        <v>0</v>
      </c>
      <c r="E22" s="15">
        <v>1</v>
      </c>
      <c r="F22" s="15">
        <v>0</v>
      </c>
      <c r="G22" s="15">
        <v>0</v>
      </c>
      <c r="H22" s="16">
        <v>0</v>
      </c>
      <c r="I22" s="23">
        <v>0</v>
      </c>
      <c r="J22" s="23">
        <v>0</v>
      </c>
      <c r="K22" s="16">
        <v>0</v>
      </c>
      <c r="L22" s="16">
        <v>1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X22" s="2">
        <f t="shared" si="2"/>
        <v>0</v>
      </c>
      <c r="Y22" s="3">
        <f t="shared" si="3"/>
        <v>1</v>
      </c>
      <c r="Z22" s="13">
        <f t="shared" si="4"/>
        <v>0.29999983240759043</v>
      </c>
      <c r="AA22" s="28"/>
      <c r="AB22" s="2" t="str">
        <f t="shared" si="5"/>
        <v/>
      </c>
    </row>
    <row r="23" spans="2:28" x14ac:dyDescent="0.25">
      <c r="B23" s="14" t="s">
        <v>25</v>
      </c>
      <c r="C23" s="22" t="s">
        <v>76</v>
      </c>
      <c r="D23" s="15">
        <v>0</v>
      </c>
      <c r="E23" s="15">
        <v>1</v>
      </c>
      <c r="F23" s="15">
        <v>0</v>
      </c>
      <c r="G23" s="15">
        <v>1</v>
      </c>
      <c r="H23" s="16">
        <v>0</v>
      </c>
      <c r="I23" s="23">
        <v>0</v>
      </c>
      <c r="J23" s="23">
        <v>0</v>
      </c>
      <c r="K23" s="23">
        <v>0</v>
      </c>
      <c r="L23" s="23">
        <v>0</v>
      </c>
      <c r="M23" s="16">
        <v>1</v>
      </c>
      <c r="N23" s="16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" t="s">
        <v>26</v>
      </c>
      <c r="V23" s="25">
        <f>D23+D25</f>
        <v>0</v>
      </c>
      <c r="W23" s="2">
        <f>V23/SUM(V23:V24)</f>
        <v>0</v>
      </c>
      <c r="X23" s="2">
        <f t="shared" si="2"/>
        <v>-0.40546371150494637</v>
      </c>
      <c r="Y23" s="3">
        <f t="shared" si="3"/>
        <v>0.66666759773612883</v>
      </c>
      <c r="Z23" s="13">
        <f t="shared" si="4"/>
        <v>0.30000003673593961</v>
      </c>
      <c r="AA23" s="28">
        <f>Z23+Z25</f>
        <v>0.60000007347187923</v>
      </c>
      <c r="AB23" s="2">
        <f t="shared" si="5"/>
        <v>0</v>
      </c>
    </row>
    <row r="24" spans="2:28" x14ac:dyDescent="0.25">
      <c r="B24" s="14" t="s">
        <v>25</v>
      </c>
      <c r="C24" s="22" t="s">
        <v>77</v>
      </c>
      <c r="D24" s="15">
        <v>1</v>
      </c>
      <c r="E24" s="15">
        <v>1</v>
      </c>
      <c r="F24" s="15">
        <v>1</v>
      </c>
      <c r="G24" s="15">
        <v>0</v>
      </c>
      <c r="H24" s="16">
        <v>1</v>
      </c>
      <c r="I24" s="23">
        <v>0</v>
      </c>
      <c r="J24" s="23">
        <v>0</v>
      </c>
      <c r="K24" s="23">
        <v>0</v>
      </c>
      <c r="L24" s="23">
        <v>0</v>
      </c>
      <c r="M24" s="16">
        <v>1</v>
      </c>
      <c r="N24" s="16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" t="s">
        <v>25</v>
      </c>
      <c r="V24" s="25">
        <f>D24+D26</f>
        <v>2</v>
      </c>
      <c r="W24" s="2">
        <f>V24/SUM(V23:V24)</f>
        <v>1</v>
      </c>
      <c r="X24" s="2">
        <f t="shared" si="2"/>
        <v>-0.81092912574594989</v>
      </c>
      <c r="Y24" s="3">
        <f t="shared" si="3"/>
        <v>0.44444492909821043</v>
      </c>
      <c r="Z24" s="13">
        <f t="shared" si="4"/>
        <v>0.19999996326406044</v>
      </c>
      <c r="AA24" s="28">
        <f>Z24+Z26</f>
        <v>0.39999992652812089</v>
      </c>
      <c r="AB24" s="2">
        <f t="shared" si="5"/>
        <v>-0.39794008844312412</v>
      </c>
    </row>
    <row r="25" spans="2:28" x14ac:dyDescent="0.25">
      <c r="B25" s="14" t="s">
        <v>25</v>
      </c>
      <c r="C25" s="22" t="s">
        <v>78</v>
      </c>
      <c r="D25" s="15">
        <v>0</v>
      </c>
      <c r="E25" s="15">
        <v>1</v>
      </c>
      <c r="F25" s="15">
        <v>1</v>
      </c>
      <c r="G25" s="15">
        <v>1</v>
      </c>
      <c r="H25" s="16">
        <v>0</v>
      </c>
      <c r="I25" s="23">
        <v>0</v>
      </c>
      <c r="J25" s="23">
        <v>0</v>
      </c>
      <c r="K25" s="23">
        <v>0</v>
      </c>
      <c r="L25" s="23">
        <v>0</v>
      </c>
      <c r="M25" s="16">
        <v>0</v>
      </c>
      <c r="N25" s="16">
        <v>1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X25" s="2">
        <f t="shared" si="2"/>
        <v>-0.40546371150494637</v>
      </c>
      <c r="Y25" s="3">
        <f t="shared" si="3"/>
        <v>0.66666759773612883</v>
      </c>
      <c r="Z25" s="13">
        <f t="shared" si="4"/>
        <v>0.30000003673593961</v>
      </c>
      <c r="AA25" s="28"/>
      <c r="AB25" s="2" t="str">
        <f t="shared" si="5"/>
        <v/>
      </c>
    </row>
    <row r="26" spans="2:28" x14ac:dyDescent="0.25">
      <c r="B26" s="14" t="s">
        <v>25</v>
      </c>
      <c r="C26" s="22" t="s">
        <v>79</v>
      </c>
      <c r="D26" s="15">
        <v>1</v>
      </c>
      <c r="E26" s="15">
        <v>1</v>
      </c>
      <c r="F26" s="15">
        <v>0</v>
      </c>
      <c r="G26" s="15">
        <v>0</v>
      </c>
      <c r="H26" s="16">
        <v>1</v>
      </c>
      <c r="I26" s="23">
        <v>0</v>
      </c>
      <c r="J26" s="23">
        <v>0</v>
      </c>
      <c r="K26" s="23">
        <v>0</v>
      </c>
      <c r="L26" s="23">
        <v>0</v>
      </c>
      <c r="M26" s="16">
        <v>0</v>
      </c>
      <c r="N26" s="16">
        <v>1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X26" s="2">
        <f t="shared" si="2"/>
        <v>-0.81092912574594989</v>
      </c>
      <c r="Y26" s="3">
        <f t="shared" si="3"/>
        <v>0.44444492909821043</v>
      </c>
      <c r="Z26" s="13">
        <f t="shared" si="4"/>
        <v>0.19999996326406044</v>
      </c>
      <c r="AA26" s="28"/>
      <c r="AB26" s="2" t="str">
        <f t="shared" si="5"/>
        <v/>
      </c>
    </row>
    <row r="27" spans="2:28" x14ac:dyDescent="0.25">
      <c r="B27" s="14" t="s">
        <v>27</v>
      </c>
      <c r="C27" s="22" t="s">
        <v>80</v>
      </c>
      <c r="D27" s="15">
        <v>0</v>
      </c>
      <c r="E27" s="15">
        <v>1</v>
      </c>
      <c r="F27" s="15">
        <v>0</v>
      </c>
      <c r="G27" s="15">
        <v>1</v>
      </c>
      <c r="H27" s="16">
        <v>0</v>
      </c>
      <c r="I27" s="23">
        <v>0</v>
      </c>
      <c r="J27" s="23">
        <v>0</v>
      </c>
      <c r="K27" s="23">
        <v>0</v>
      </c>
      <c r="L27" s="23">
        <v>0</v>
      </c>
      <c r="M27" s="16">
        <v>1</v>
      </c>
      <c r="N27" s="16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" t="s">
        <v>28</v>
      </c>
      <c r="V27" s="25">
        <f>D27+D29</f>
        <v>0</v>
      </c>
      <c r="W27" s="2">
        <f>V27/SUM(V27:V28)</f>
        <v>0</v>
      </c>
      <c r="X27" s="2">
        <f t="shared" si="2"/>
        <v>-0.40546371150494637</v>
      </c>
      <c r="Y27" s="3">
        <f t="shared" si="3"/>
        <v>0.66666759773612883</v>
      </c>
      <c r="Z27" s="13">
        <f t="shared" si="4"/>
        <v>0.20000016759240954</v>
      </c>
      <c r="AA27" s="28">
        <f>Z27+Z29</f>
        <v>0.40000033518481909</v>
      </c>
      <c r="AB27" s="2">
        <f t="shared" si="5"/>
        <v>0</v>
      </c>
    </row>
    <row r="28" spans="2:28" x14ac:dyDescent="0.25">
      <c r="B28" s="14" t="s">
        <v>27</v>
      </c>
      <c r="C28" s="22" t="s">
        <v>81</v>
      </c>
      <c r="D28" s="15">
        <v>1</v>
      </c>
      <c r="E28" s="15">
        <v>1</v>
      </c>
      <c r="F28" s="15">
        <v>1</v>
      </c>
      <c r="G28" s="15">
        <v>0</v>
      </c>
      <c r="H28" s="16">
        <v>0</v>
      </c>
      <c r="I28" s="23">
        <v>0</v>
      </c>
      <c r="J28" s="23">
        <v>0</v>
      </c>
      <c r="K28" s="23">
        <v>0</v>
      </c>
      <c r="L28" s="23">
        <v>0</v>
      </c>
      <c r="M28" s="16">
        <v>1</v>
      </c>
      <c r="N28" s="16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" t="s">
        <v>27</v>
      </c>
      <c r="V28" s="25">
        <f>D28+D30</f>
        <v>2</v>
      </c>
      <c r="W28" s="2">
        <f>V28/SUM(V27:V28)</f>
        <v>1</v>
      </c>
      <c r="X28" s="2">
        <f t="shared" si="2"/>
        <v>0</v>
      </c>
      <c r="Y28" s="3">
        <f t="shared" si="3"/>
        <v>1</v>
      </c>
      <c r="Z28" s="13">
        <f t="shared" si="4"/>
        <v>0.29999983240759043</v>
      </c>
      <c r="AA28" s="28">
        <f>Z28+Z30</f>
        <v>0.59999966481518086</v>
      </c>
      <c r="AB28" s="2">
        <f t="shared" si="5"/>
        <v>-0.22184899223128643</v>
      </c>
    </row>
    <row r="29" spans="2:28" x14ac:dyDescent="0.25">
      <c r="B29" s="14" t="s">
        <v>27</v>
      </c>
      <c r="C29" s="22" t="s">
        <v>82</v>
      </c>
      <c r="D29" s="15">
        <v>0</v>
      </c>
      <c r="E29" s="15">
        <v>1</v>
      </c>
      <c r="F29" s="15">
        <v>1</v>
      </c>
      <c r="G29" s="15">
        <v>1</v>
      </c>
      <c r="H29" s="16">
        <v>0</v>
      </c>
      <c r="I29" s="23">
        <v>0</v>
      </c>
      <c r="J29" s="23">
        <v>0</v>
      </c>
      <c r="K29" s="23">
        <v>0</v>
      </c>
      <c r="L29" s="23">
        <v>0</v>
      </c>
      <c r="M29" s="16">
        <v>0</v>
      </c>
      <c r="N29" s="16">
        <v>1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X29" s="2">
        <f t="shared" si="2"/>
        <v>-0.40546371150494637</v>
      </c>
      <c r="Y29" s="3">
        <f t="shared" si="3"/>
        <v>0.66666759773612883</v>
      </c>
      <c r="Z29" s="13">
        <f t="shared" si="4"/>
        <v>0.20000016759240954</v>
      </c>
      <c r="AA29" s="28"/>
      <c r="AB29" s="2" t="str">
        <f t="shared" si="5"/>
        <v/>
      </c>
    </row>
    <row r="30" spans="2:28" x14ac:dyDescent="0.25">
      <c r="B30" s="14" t="s">
        <v>27</v>
      </c>
      <c r="C30" s="22" t="s">
        <v>83</v>
      </c>
      <c r="D30" s="15">
        <v>1</v>
      </c>
      <c r="E30" s="15">
        <v>1</v>
      </c>
      <c r="F30" s="15">
        <v>0</v>
      </c>
      <c r="G30" s="15">
        <v>0</v>
      </c>
      <c r="H30" s="16">
        <v>0</v>
      </c>
      <c r="I30" s="23">
        <v>0</v>
      </c>
      <c r="J30" s="23">
        <v>0</v>
      </c>
      <c r="K30" s="23">
        <v>0</v>
      </c>
      <c r="L30" s="23">
        <v>0</v>
      </c>
      <c r="M30" s="16">
        <v>0</v>
      </c>
      <c r="N30" s="16">
        <v>1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X30" s="2">
        <f t="shared" si="2"/>
        <v>0</v>
      </c>
      <c r="Y30" s="3">
        <f t="shared" si="3"/>
        <v>1</v>
      </c>
      <c r="Z30" s="13">
        <f t="shared" si="4"/>
        <v>0.29999983240759043</v>
      </c>
      <c r="AA30" s="28"/>
      <c r="AB30" s="2" t="str">
        <f t="shared" si="5"/>
        <v/>
      </c>
    </row>
    <row r="31" spans="2:28" x14ac:dyDescent="0.25">
      <c r="B31" s="14" t="s">
        <v>29</v>
      </c>
      <c r="C31" s="22" t="s">
        <v>84</v>
      </c>
      <c r="D31" s="15">
        <v>0</v>
      </c>
      <c r="E31" s="15">
        <v>1</v>
      </c>
      <c r="F31" s="15">
        <v>0</v>
      </c>
      <c r="G31" s="15">
        <v>1</v>
      </c>
      <c r="H31" s="16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16">
        <v>1</v>
      </c>
      <c r="P31" s="16">
        <v>0</v>
      </c>
      <c r="Q31" s="23">
        <v>0</v>
      </c>
      <c r="R31" s="23">
        <v>0</v>
      </c>
      <c r="S31" s="23">
        <v>0</v>
      </c>
      <c r="T31" s="23">
        <v>0</v>
      </c>
      <c r="U31" s="2" t="s">
        <v>30</v>
      </c>
      <c r="V31" s="25">
        <f>D31+D33</f>
        <v>0</v>
      </c>
      <c r="W31" s="2">
        <f>V31/SUM(V31:V32)</f>
        <v>0</v>
      </c>
      <c r="X31" s="2">
        <f t="shared" si="2"/>
        <v>-0.40546371150494637</v>
      </c>
      <c r="Y31" s="3">
        <f t="shared" si="3"/>
        <v>0.66666759773612883</v>
      </c>
      <c r="Z31" s="13">
        <f t="shared" si="4"/>
        <v>0.30000003673593961</v>
      </c>
      <c r="AA31" s="28">
        <f>Z31+Z33</f>
        <v>0.60000007347187923</v>
      </c>
      <c r="AB31" s="2">
        <f t="shared" si="5"/>
        <v>0</v>
      </c>
    </row>
    <row r="32" spans="2:28" x14ac:dyDescent="0.25">
      <c r="B32" s="14" t="s">
        <v>29</v>
      </c>
      <c r="C32" s="22" t="s">
        <v>85</v>
      </c>
      <c r="D32" s="15">
        <v>1</v>
      </c>
      <c r="E32" s="15">
        <v>1</v>
      </c>
      <c r="F32" s="15">
        <v>1</v>
      </c>
      <c r="G32" s="15">
        <v>0</v>
      </c>
      <c r="H32" s="16">
        <v>1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16">
        <v>1</v>
      </c>
      <c r="P32" s="16">
        <v>0</v>
      </c>
      <c r="Q32" s="23">
        <v>0</v>
      </c>
      <c r="R32" s="23">
        <v>0</v>
      </c>
      <c r="S32" s="23">
        <v>0</v>
      </c>
      <c r="T32" s="23">
        <v>0</v>
      </c>
      <c r="U32" s="2" t="s">
        <v>29</v>
      </c>
      <c r="V32" s="25">
        <f>D32+D34</f>
        <v>2</v>
      </c>
      <c r="W32" s="2">
        <f>V32/SUM(V31:V32)</f>
        <v>1</v>
      </c>
      <c r="X32" s="2">
        <f t="shared" si="2"/>
        <v>-0.81092912574594989</v>
      </c>
      <c r="Y32" s="3">
        <f t="shared" si="3"/>
        <v>0.44444492909821043</v>
      </c>
      <c r="Z32" s="13">
        <f t="shared" si="4"/>
        <v>0.19999996326406044</v>
      </c>
      <c r="AA32" s="28">
        <f>Z32+Z34</f>
        <v>0.39999992652812089</v>
      </c>
      <c r="AB32" s="2">
        <f t="shared" si="5"/>
        <v>-0.39794008844312412</v>
      </c>
    </row>
    <row r="33" spans="2:28" x14ac:dyDescent="0.25">
      <c r="B33" s="14" t="s">
        <v>29</v>
      </c>
      <c r="C33" s="22" t="s">
        <v>86</v>
      </c>
      <c r="D33" s="15">
        <v>0</v>
      </c>
      <c r="E33" s="15">
        <v>1</v>
      </c>
      <c r="F33" s="15">
        <v>1</v>
      </c>
      <c r="G33" s="15">
        <v>1</v>
      </c>
      <c r="H33" s="16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16">
        <v>0</v>
      </c>
      <c r="P33" s="16">
        <v>1</v>
      </c>
      <c r="Q33" s="23">
        <v>0</v>
      </c>
      <c r="R33" s="23">
        <v>0</v>
      </c>
      <c r="S33" s="23">
        <v>0</v>
      </c>
      <c r="T33" s="23">
        <v>0</v>
      </c>
      <c r="X33" s="2">
        <f t="shared" si="2"/>
        <v>-0.40546371150494637</v>
      </c>
      <c r="Y33" s="3">
        <f t="shared" si="3"/>
        <v>0.66666759773612883</v>
      </c>
      <c r="Z33" s="13">
        <f t="shared" si="4"/>
        <v>0.30000003673593961</v>
      </c>
      <c r="AA33" s="28"/>
      <c r="AB33" s="2" t="str">
        <f t="shared" si="5"/>
        <v/>
      </c>
    </row>
    <row r="34" spans="2:28" x14ac:dyDescent="0.25">
      <c r="B34" s="14" t="s">
        <v>29</v>
      </c>
      <c r="C34" s="22" t="s">
        <v>87</v>
      </c>
      <c r="D34" s="15">
        <v>1</v>
      </c>
      <c r="E34" s="15">
        <v>1</v>
      </c>
      <c r="F34" s="15">
        <v>0</v>
      </c>
      <c r="G34" s="15">
        <v>0</v>
      </c>
      <c r="H34" s="16">
        <v>1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16">
        <v>0</v>
      </c>
      <c r="P34" s="16">
        <v>1</v>
      </c>
      <c r="Q34" s="23">
        <v>0</v>
      </c>
      <c r="R34" s="23">
        <v>0</v>
      </c>
      <c r="S34" s="23">
        <v>0</v>
      </c>
      <c r="T34" s="23">
        <v>0</v>
      </c>
      <c r="X34" s="2">
        <f t="shared" si="2"/>
        <v>-0.81092912574594989</v>
      </c>
      <c r="Y34" s="3">
        <f t="shared" si="3"/>
        <v>0.44444492909821043</v>
      </c>
      <c r="Z34" s="13">
        <f t="shared" si="4"/>
        <v>0.19999996326406044</v>
      </c>
      <c r="AA34" s="28"/>
      <c r="AB34" s="2" t="str">
        <f t="shared" si="5"/>
        <v/>
      </c>
    </row>
    <row r="35" spans="2:28" x14ac:dyDescent="0.25">
      <c r="B35" s="14" t="s">
        <v>31</v>
      </c>
      <c r="C35" s="22" t="s">
        <v>88</v>
      </c>
      <c r="D35" s="15">
        <v>0</v>
      </c>
      <c r="E35" s="15">
        <v>1</v>
      </c>
      <c r="F35" s="15">
        <v>0</v>
      </c>
      <c r="G35" s="15">
        <v>1</v>
      </c>
      <c r="H35" s="16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16">
        <v>1</v>
      </c>
      <c r="P35" s="16">
        <v>0</v>
      </c>
      <c r="Q35" s="23">
        <v>0</v>
      </c>
      <c r="R35" s="23">
        <v>0</v>
      </c>
      <c r="S35" s="23">
        <v>0</v>
      </c>
      <c r="T35" s="23">
        <v>0</v>
      </c>
      <c r="U35" s="2" t="s">
        <v>32</v>
      </c>
      <c r="V35" s="25">
        <f>D35+D37</f>
        <v>0</v>
      </c>
      <c r="W35" s="2">
        <f>V35/SUM(V35:V36)</f>
        <v>0</v>
      </c>
      <c r="X35" s="2">
        <f t="shared" si="2"/>
        <v>-0.40546371150494637</v>
      </c>
      <c r="Y35" s="3">
        <f t="shared" si="3"/>
        <v>0.66666759773612883</v>
      </c>
      <c r="Z35" s="13">
        <f t="shared" si="4"/>
        <v>0.20000016759240954</v>
      </c>
      <c r="AA35" s="28">
        <f>Z35+Z37</f>
        <v>0.40000033518481909</v>
      </c>
      <c r="AB35" s="2">
        <f t="shared" si="5"/>
        <v>0</v>
      </c>
    </row>
    <row r="36" spans="2:28" x14ac:dyDescent="0.25">
      <c r="B36" s="14" t="s">
        <v>31</v>
      </c>
      <c r="C36" s="22" t="s">
        <v>89</v>
      </c>
      <c r="D36" s="15">
        <v>1</v>
      </c>
      <c r="E36" s="15">
        <v>1</v>
      </c>
      <c r="F36" s="15">
        <v>1</v>
      </c>
      <c r="G36" s="15">
        <v>0</v>
      </c>
      <c r="H36" s="16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16">
        <v>1</v>
      </c>
      <c r="P36" s="16">
        <v>0</v>
      </c>
      <c r="Q36" s="23">
        <v>0</v>
      </c>
      <c r="R36" s="23">
        <v>0</v>
      </c>
      <c r="S36" s="23">
        <v>0</v>
      </c>
      <c r="T36" s="23">
        <v>0</v>
      </c>
      <c r="U36" s="2" t="s">
        <v>31</v>
      </c>
      <c r="V36" s="25">
        <f>D36+D38</f>
        <v>2</v>
      </c>
      <c r="W36" s="2">
        <f>V36/SUM(V35:V36)</f>
        <v>1</v>
      </c>
      <c r="X36" s="2">
        <f t="shared" si="2"/>
        <v>0</v>
      </c>
      <c r="Y36" s="3">
        <f t="shared" si="3"/>
        <v>1</v>
      </c>
      <c r="Z36" s="13">
        <f t="shared" si="4"/>
        <v>0.29999983240759043</v>
      </c>
      <c r="AA36" s="28">
        <f>Z36+Z38</f>
        <v>0.59999966481518086</v>
      </c>
      <c r="AB36" s="2">
        <f t="shared" si="5"/>
        <v>-0.22184899223128643</v>
      </c>
    </row>
    <row r="37" spans="2:28" x14ac:dyDescent="0.25">
      <c r="B37" s="14" t="s">
        <v>31</v>
      </c>
      <c r="C37" s="22" t="s">
        <v>90</v>
      </c>
      <c r="D37" s="15">
        <v>0</v>
      </c>
      <c r="E37" s="15">
        <v>1</v>
      </c>
      <c r="F37" s="15">
        <v>1</v>
      </c>
      <c r="G37" s="15">
        <v>1</v>
      </c>
      <c r="H37" s="16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16">
        <v>0</v>
      </c>
      <c r="P37" s="16">
        <v>1</v>
      </c>
      <c r="Q37" s="23">
        <v>0</v>
      </c>
      <c r="R37" s="23">
        <v>0</v>
      </c>
      <c r="S37" s="23">
        <v>0</v>
      </c>
      <c r="T37" s="23">
        <v>0</v>
      </c>
      <c r="X37" s="2">
        <f t="shared" si="2"/>
        <v>-0.40546371150494637</v>
      </c>
      <c r="Y37" s="3">
        <f t="shared" si="3"/>
        <v>0.66666759773612883</v>
      </c>
      <c r="Z37" s="13">
        <f t="shared" si="4"/>
        <v>0.20000016759240954</v>
      </c>
      <c r="AA37" s="28"/>
      <c r="AB37" s="2" t="str">
        <f t="shared" si="5"/>
        <v/>
      </c>
    </row>
    <row r="38" spans="2:28" x14ac:dyDescent="0.25">
      <c r="B38" s="14" t="s">
        <v>31</v>
      </c>
      <c r="C38" s="22" t="s">
        <v>91</v>
      </c>
      <c r="D38" s="15">
        <v>1</v>
      </c>
      <c r="E38" s="15">
        <v>1</v>
      </c>
      <c r="F38" s="15">
        <v>0</v>
      </c>
      <c r="G38" s="15">
        <v>0</v>
      </c>
      <c r="H38" s="16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16">
        <v>0</v>
      </c>
      <c r="P38" s="16">
        <v>1</v>
      </c>
      <c r="Q38" s="23">
        <v>0</v>
      </c>
      <c r="R38" s="23">
        <v>0</v>
      </c>
      <c r="S38" s="23">
        <v>0</v>
      </c>
      <c r="T38" s="23">
        <v>0</v>
      </c>
      <c r="X38" s="2">
        <f t="shared" si="2"/>
        <v>0</v>
      </c>
      <c r="Y38" s="3">
        <f t="shared" si="3"/>
        <v>1</v>
      </c>
      <c r="Z38" s="13">
        <f t="shared" si="4"/>
        <v>0.29999983240759043</v>
      </c>
      <c r="AA38" s="28"/>
      <c r="AB38" s="2" t="str">
        <f t="shared" si="5"/>
        <v/>
      </c>
    </row>
    <row r="39" spans="2:28" x14ac:dyDescent="0.25">
      <c r="B39" s="14" t="s">
        <v>33</v>
      </c>
      <c r="C39" s="22" t="s">
        <v>92</v>
      </c>
      <c r="D39" s="15">
        <v>1</v>
      </c>
      <c r="E39" s="15">
        <v>1</v>
      </c>
      <c r="F39" s="15">
        <v>0</v>
      </c>
      <c r="G39" s="17">
        <v>1</v>
      </c>
      <c r="H39" s="16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16">
        <v>1</v>
      </c>
      <c r="R39" s="16">
        <v>0</v>
      </c>
      <c r="S39" s="23">
        <v>0</v>
      </c>
      <c r="T39" s="23">
        <v>0</v>
      </c>
      <c r="U39" s="2" t="s">
        <v>33</v>
      </c>
      <c r="V39" s="25">
        <f>D39+D41</f>
        <v>2</v>
      </c>
      <c r="W39" s="2">
        <f>V39/SUM(V39:V40)</f>
        <v>1</v>
      </c>
      <c r="X39" s="2">
        <f t="shared" si="2"/>
        <v>-0.40546371150494637</v>
      </c>
      <c r="Y39" s="3">
        <f t="shared" si="3"/>
        <v>0.66666759773612883</v>
      </c>
      <c r="Z39" s="13">
        <f t="shared" si="4"/>
        <v>0.30000003673593961</v>
      </c>
      <c r="AA39" s="28">
        <f>Z39+Z41</f>
        <v>0.60000007347187923</v>
      </c>
      <c r="AB39" s="2">
        <f t="shared" si="5"/>
        <v>-0.22184869643564009</v>
      </c>
    </row>
    <row r="40" spans="2:28" x14ac:dyDescent="0.25">
      <c r="B40" s="14" t="s">
        <v>33</v>
      </c>
      <c r="C40" s="22" t="s">
        <v>93</v>
      </c>
      <c r="D40" s="15">
        <v>0</v>
      </c>
      <c r="E40" s="15">
        <v>1</v>
      </c>
      <c r="F40" s="15">
        <v>1</v>
      </c>
      <c r="G40" s="15">
        <v>0</v>
      </c>
      <c r="H40" s="16">
        <v>1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16">
        <v>1</v>
      </c>
      <c r="R40" s="16">
        <v>0</v>
      </c>
      <c r="S40" s="23">
        <v>0</v>
      </c>
      <c r="T40" s="23">
        <v>0</v>
      </c>
      <c r="U40" s="2" t="s">
        <v>34</v>
      </c>
      <c r="V40" s="25">
        <f>D40+D42</f>
        <v>0</v>
      </c>
      <c r="W40" s="2">
        <f>V40/SUM(V39:V40)</f>
        <v>0</v>
      </c>
      <c r="X40" s="2">
        <f t="shared" si="2"/>
        <v>-0.81092912574594989</v>
      </c>
      <c r="Y40" s="3">
        <f t="shared" si="3"/>
        <v>0.44444492909821043</v>
      </c>
      <c r="Z40" s="13">
        <f t="shared" si="4"/>
        <v>0.19999996326406044</v>
      </c>
      <c r="AA40" s="28">
        <f>Z40+Z42</f>
        <v>0.39999992652812089</v>
      </c>
      <c r="AB40" s="2">
        <f t="shared" si="5"/>
        <v>0</v>
      </c>
    </row>
    <row r="41" spans="2:28" x14ac:dyDescent="0.25">
      <c r="B41" s="14" t="s">
        <v>33</v>
      </c>
      <c r="C41" s="22" t="s">
        <v>94</v>
      </c>
      <c r="D41" s="15">
        <v>1</v>
      </c>
      <c r="E41" s="15">
        <v>1</v>
      </c>
      <c r="F41" s="15">
        <v>1</v>
      </c>
      <c r="G41" s="17">
        <v>1</v>
      </c>
      <c r="H41" s="16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16">
        <v>0</v>
      </c>
      <c r="R41" s="16">
        <v>1</v>
      </c>
      <c r="S41" s="23">
        <v>0</v>
      </c>
      <c r="T41" s="23">
        <v>0</v>
      </c>
      <c r="X41" s="2">
        <f t="shared" si="2"/>
        <v>-0.40546371150494637</v>
      </c>
      <c r="Y41" s="3">
        <f t="shared" si="3"/>
        <v>0.66666759773612883</v>
      </c>
      <c r="Z41" s="13">
        <f t="shared" si="4"/>
        <v>0.30000003673593961</v>
      </c>
      <c r="AA41" s="28"/>
      <c r="AB41" s="2" t="str">
        <f t="shared" si="5"/>
        <v/>
      </c>
    </row>
    <row r="42" spans="2:28" x14ac:dyDescent="0.25">
      <c r="B42" s="14" t="s">
        <v>33</v>
      </c>
      <c r="C42" s="22" t="s">
        <v>95</v>
      </c>
      <c r="D42" s="15">
        <v>0</v>
      </c>
      <c r="E42" s="15">
        <v>1</v>
      </c>
      <c r="F42" s="15">
        <v>0</v>
      </c>
      <c r="G42" s="15">
        <v>0</v>
      </c>
      <c r="H42" s="16">
        <v>1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16">
        <v>0</v>
      </c>
      <c r="R42" s="16">
        <v>1</v>
      </c>
      <c r="S42" s="23">
        <v>0</v>
      </c>
      <c r="T42" s="23">
        <v>0</v>
      </c>
      <c r="X42" s="2">
        <f t="shared" si="2"/>
        <v>-0.81092912574594989</v>
      </c>
      <c r="Y42" s="3">
        <f t="shared" si="3"/>
        <v>0.44444492909821043</v>
      </c>
      <c r="Z42" s="13">
        <f t="shared" si="4"/>
        <v>0.19999996326406044</v>
      </c>
      <c r="AA42" s="28"/>
      <c r="AB42" s="2" t="str">
        <f t="shared" si="5"/>
        <v/>
      </c>
    </row>
    <row r="43" spans="2:28" x14ac:dyDescent="0.25">
      <c r="B43" s="14" t="s">
        <v>35</v>
      </c>
      <c r="C43" s="22" t="s">
        <v>96</v>
      </c>
      <c r="D43" s="15">
        <v>0</v>
      </c>
      <c r="E43" s="15">
        <v>1</v>
      </c>
      <c r="F43" s="15">
        <v>0</v>
      </c>
      <c r="G43" s="15">
        <v>1</v>
      </c>
      <c r="H43" s="16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16">
        <v>1</v>
      </c>
      <c r="R43" s="16">
        <v>0</v>
      </c>
      <c r="S43" s="23">
        <v>0</v>
      </c>
      <c r="T43" s="23">
        <v>0</v>
      </c>
      <c r="U43" s="2" t="s">
        <v>35</v>
      </c>
      <c r="V43" s="25">
        <f>D43+D45</f>
        <v>0</v>
      </c>
      <c r="W43" s="2">
        <f>V43/SUM(V43:V44)</f>
        <v>0</v>
      </c>
      <c r="X43" s="2">
        <f t="shared" si="2"/>
        <v>-0.40546371150494637</v>
      </c>
      <c r="Y43" s="3">
        <f t="shared" si="3"/>
        <v>0.66666759773612883</v>
      </c>
      <c r="Z43" s="13">
        <f t="shared" si="4"/>
        <v>0.20000016759240954</v>
      </c>
      <c r="AA43" s="28">
        <f>Z43+Z45</f>
        <v>0.40000033518481909</v>
      </c>
      <c r="AB43" s="2">
        <f t="shared" si="5"/>
        <v>0</v>
      </c>
    </row>
    <row r="44" spans="2:28" x14ac:dyDescent="0.25">
      <c r="B44" s="14" t="s">
        <v>35</v>
      </c>
      <c r="C44" s="22" t="s">
        <v>97</v>
      </c>
      <c r="D44" s="15">
        <v>1</v>
      </c>
      <c r="E44" s="15">
        <v>1</v>
      </c>
      <c r="F44" s="15">
        <v>1</v>
      </c>
      <c r="G44" s="15">
        <v>0</v>
      </c>
      <c r="H44" s="16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16">
        <v>1</v>
      </c>
      <c r="R44" s="16">
        <v>0</v>
      </c>
      <c r="S44" s="23">
        <v>0</v>
      </c>
      <c r="T44" s="23">
        <v>0</v>
      </c>
      <c r="U44" s="2" t="s">
        <v>36</v>
      </c>
      <c r="V44" s="25">
        <f>D44+D46</f>
        <v>2</v>
      </c>
      <c r="W44" s="2">
        <f>V44/SUM(V43:V44)</f>
        <v>1</v>
      </c>
      <c r="X44" s="2">
        <f t="shared" si="2"/>
        <v>0</v>
      </c>
      <c r="Y44" s="3">
        <f t="shared" si="3"/>
        <v>1</v>
      </c>
      <c r="Z44" s="13">
        <f t="shared" si="4"/>
        <v>0.29999983240759043</v>
      </c>
      <c r="AA44" s="28">
        <f>Z44+Z46</f>
        <v>0.59999966481518086</v>
      </c>
      <c r="AB44" s="2">
        <f t="shared" si="5"/>
        <v>-0.22184899223128643</v>
      </c>
    </row>
    <row r="45" spans="2:28" x14ac:dyDescent="0.25">
      <c r="B45" s="14" t="s">
        <v>35</v>
      </c>
      <c r="C45" s="22" t="s">
        <v>98</v>
      </c>
      <c r="D45" s="15">
        <v>0</v>
      </c>
      <c r="E45" s="15">
        <v>1</v>
      </c>
      <c r="F45" s="15">
        <v>1</v>
      </c>
      <c r="G45" s="15">
        <v>1</v>
      </c>
      <c r="H45" s="16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16">
        <v>0</v>
      </c>
      <c r="R45" s="16">
        <v>1</v>
      </c>
      <c r="S45" s="23">
        <v>0</v>
      </c>
      <c r="T45" s="23">
        <v>0</v>
      </c>
      <c r="X45" s="2">
        <f t="shared" si="2"/>
        <v>-0.40546371150494637</v>
      </c>
      <c r="Y45" s="3">
        <f t="shared" si="3"/>
        <v>0.66666759773612883</v>
      </c>
      <c r="Z45" s="13">
        <f t="shared" si="4"/>
        <v>0.20000016759240954</v>
      </c>
      <c r="AA45" s="28"/>
      <c r="AB45" s="2" t="str">
        <f t="shared" si="5"/>
        <v/>
      </c>
    </row>
    <row r="46" spans="2:28" x14ac:dyDescent="0.25">
      <c r="B46" s="14" t="s">
        <v>35</v>
      </c>
      <c r="C46" s="22" t="s">
        <v>99</v>
      </c>
      <c r="D46" s="15">
        <v>1</v>
      </c>
      <c r="E46" s="15">
        <v>1</v>
      </c>
      <c r="F46" s="15">
        <v>0</v>
      </c>
      <c r="G46" s="15">
        <v>0</v>
      </c>
      <c r="H46" s="16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16">
        <v>0</v>
      </c>
      <c r="R46" s="16">
        <v>1</v>
      </c>
      <c r="S46" s="23">
        <v>0</v>
      </c>
      <c r="T46" s="23">
        <v>0</v>
      </c>
      <c r="X46" s="2">
        <f t="shared" si="2"/>
        <v>0</v>
      </c>
      <c r="Y46" s="3">
        <f t="shared" si="3"/>
        <v>1</v>
      </c>
      <c r="Z46" s="13">
        <f t="shared" si="4"/>
        <v>0.29999983240759043</v>
      </c>
      <c r="AA46" s="28"/>
      <c r="AB46" s="2" t="str">
        <f t="shared" si="5"/>
        <v/>
      </c>
    </row>
    <row r="47" spans="2:28" x14ac:dyDescent="0.25">
      <c r="B47" s="18" t="s">
        <v>37</v>
      </c>
      <c r="C47" s="24" t="s">
        <v>100</v>
      </c>
      <c r="D47" s="15">
        <v>1</v>
      </c>
      <c r="E47" s="15">
        <v>1</v>
      </c>
      <c r="F47" s="15">
        <v>0</v>
      </c>
      <c r="G47" s="15">
        <v>1</v>
      </c>
      <c r="H47" s="16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16">
        <v>1</v>
      </c>
      <c r="T47" s="16">
        <v>0</v>
      </c>
      <c r="U47" s="2" t="s">
        <v>37</v>
      </c>
      <c r="V47" s="25">
        <f>D47+D49</f>
        <v>2</v>
      </c>
      <c r="W47" s="2">
        <f>V47/SUM(V47:V48)</f>
        <v>1</v>
      </c>
      <c r="X47" s="2">
        <f t="shared" si="2"/>
        <v>-0.40546371150494637</v>
      </c>
      <c r="Y47" s="3">
        <f t="shared" si="3"/>
        <v>0.66666759773612883</v>
      </c>
      <c r="Z47" s="13">
        <f t="shared" si="4"/>
        <v>0.30000003673593961</v>
      </c>
      <c r="AA47" s="28">
        <f>Z47+Z49</f>
        <v>0.60000007347187923</v>
      </c>
      <c r="AB47" s="2">
        <f t="shared" si="5"/>
        <v>-0.22184869643564009</v>
      </c>
    </row>
    <row r="48" spans="2:28" x14ac:dyDescent="0.25">
      <c r="B48" s="18" t="s">
        <v>37</v>
      </c>
      <c r="C48" s="24" t="s">
        <v>101</v>
      </c>
      <c r="D48" s="15">
        <v>0</v>
      </c>
      <c r="E48" s="15">
        <v>1</v>
      </c>
      <c r="F48" s="15">
        <v>1</v>
      </c>
      <c r="G48" s="15">
        <v>0</v>
      </c>
      <c r="H48" s="16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16">
        <v>1</v>
      </c>
      <c r="T48" s="16">
        <v>0</v>
      </c>
      <c r="U48" s="2" t="s">
        <v>38</v>
      </c>
      <c r="V48" s="25">
        <f>D48+D50</f>
        <v>0</v>
      </c>
      <c r="W48" s="2">
        <f>V48/SUM(V47:V48)</f>
        <v>0</v>
      </c>
      <c r="X48" s="2">
        <f t="shared" si="2"/>
        <v>-0.81092912574594989</v>
      </c>
      <c r="Y48" s="3">
        <f t="shared" si="3"/>
        <v>0.44444492909821043</v>
      </c>
      <c r="Z48" s="13">
        <f t="shared" si="4"/>
        <v>0.19999996326406044</v>
      </c>
      <c r="AA48" s="28">
        <f>Z48+Z50</f>
        <v>0.39999992652812089</v>
      </c>
      <c r="AB48" s="2">
        <f t="shared" si="5"/>
        <v>0</v>
      </c>
    </row>
    <row r="49" spans="2:28" x14ac:dyDescent="0.25">
      <c r="B49" s="18" t="s">
        <v>37</v>
      </c>
      <c r="C49" s="24" t="s">
        <v>102</v>
      </c>
      <c r="D49" s="15">
        <v>1</v>
      </c>
      <c r="E49" s="15">
        <v>1</v>
      </c>
      <c r="F49" s="15">
        <v>1</v>
      </c>
      <c r="G49" s="15">
        <v>1</v>
      </c>
      <c r="H49" s="16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16">
        <v>0</v>
      </c>
      <c r="T49" s="16">
        <v>1</v>
      </c>
      <c r="X49" s="2">
        <f t="shared" si="2"/>
        <v>-0.40546371150494637</v>
      </c>
      <c r="Y49" s="3">
        <f t="shared" si="3"/>
        <v>0.66666759773612883</v>
      </c>
      <c r="Z49" s="13">
        <f t="shared" si="4"/>
        <v>0.30000003673593961</v>
      </c>
      <c r="AA49" s="28"/>
      <c r="AB49" s="2" t="str">
        <f t="shared" si="5"/>
        <v/>
      </c>
    </row>
    <row r="50" spans="2:28" x14ac:dyDescent="0.25">
      <c r="B50" s="18" t="s">
        <v>37</v>
      </c>
      <c r="C50" s="24" t="s">
        <v>103</v>
      </c>
      <c r="D50" s="15">
        <v>0</v>
      </c>
      <c r="E50" s="15">
        <v>1</v>
      </c>
      <c r="F50" s="15">
        <v>0</v>
      </c>
      <c r="G50" s="15">
        <v>0</v>
      </c>
      <c r="H50" s="16">
        <v>1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15">
        <v>0</v>
      </c>
      <c r="T50" s="15">
        <v>1</v>
      </c>
      <c r="X50" s="2">
        <f t="shared" si="2"/>
        <v>-0.81092912574594989</v>
      </c>
      <c r="Y50" s="3">
        <f t="shared" si="3"/>
        <v>0.44444492909821043</v>
      </c>
      <c r="Z50" s="13">
        <f t="shared" si="4"/>
        <v>0.19999996326406044</v>
      </c>
      <c r="AA50" s="28"/>
      <c r="AB50" s="2" t="str">
        <f t="shared" si="5"/>
        <v/>
      </c>
    </row>
    <row r="51" spans="2:28" x14ac:dyDescent="0.25">
      <c r="B51" s="18" t="s">
        <v>39</v>
      </c>
      <c r="C51" s="24" t="s">
        <v>104</v>
      </c>
      <c r="D51" s="15">
        <v>0</v>
      </c>
      <c r="E51" s="15">
        <v>1</v>
      </c>
      <c r="F51" s="15">
        <v>0</v>
      </c>
      <c r="G51" s="15">
        <v>1</v>
      </c>
      <c r="H51" s="16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16">
        <v>1</v>
      </c>
      <c r="T51" s="16">
        <v>0</v>
      </c>
      <c r="U51" s="2" t="s">
        <v>39</v>
      </c>
      <c r="V51" s="25">
        <f>D51+D53</f>
        <v>0</v>
      </c>
      <c r="W51" s="2">
        <f>V51/SUM(V51:V52)</f>
        <v>0</v>
      </c>
      <c r="X51" s="2">
        <f t="shared" si="2"/>
        <v>-0.40546371150494637</v>
      </c>
      <c r="Y51" s="3">
        <f t="shared" si="3"/>
        <v>0.66666759773612883</v>
      </c>
      <c r="Z51" s="13">
        <f t="shared" si="4"/>
        <v>0.20000016759240954</v>
      </c>
      <c r="AA51" s="28">
        <f>Z51+Z53</f>
        <v>0.40000033518481909</v>
      </c>
      <c r="AB51" s="2">
        <f t="shared" si="5"/>
        <v>0</v>
      </c>
    </row>
    <row r="52" spans="2:28" x14ac:dyDescent="0.25">
      <c r="B52" s="18" t="s">
        <v>39</v>
      </c>
      <c r="C52" s="24" t="s">
        <v>105</v>
      </c>
      <c r="D52" s="15">
        <v>1</v>
      </c>
      <c r="E52" s="15">
        <v>1</v>
      </c>
      <c r="F52" s="15">
        <v>1</v>
      </c>
      <c r="G52" s="15">
        <v>0</v>
      </c>
      <c r="H52" s="16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16">
        <v>1</v>
      </c>
      <c r="T52" s="16">
        <v>0</v>
      </c>
      <c r="U52" s="2" t="s">
        <v>40</v>
      </c>
      <c r="V52" s="25">
        <f>D52+D54</f>
        <v>2</v>
      </c>
      <c r="W52" s="2">
        <f>V52/SUM(V51:V52)</f>
        <v>1</v>
      </c>
      <c r="X52" s="2">
        <f t="shared" si="2"/>
        <v>0</v>
      </c>
      <c r="Y52" s="3">
        <f t="shared" si="3"/>
        <v>1</v>
      </c>
      <c r="Z52" s="13">
        <f t="shared" si="4"/>
        <v>0.29999983240759043</v>
      </c>
      <c r="AA52" s="28">
        <f>Z52+Z54</f>
        <v>0.59999966481518086</v>
      </c>
      <c r="AB52" s="2">
        <f t="shared" si="5"/>
        <v>-0.22184899223128643</v>
      </c>
    </row>
    <row r="53" spans="2:28" x14ac:dyDescent="0.25">
      <c r="B53" s="18" t="s">
        <v>39</v>
      </c>
      <c r="C53" s="24" t="s">
        <v>106</v>
      </c>
      <c r="D53" s="15">
        <v>0</v>
      </c>
      <c r="E53" s="15">
        <v>1</v>
      </c>
      <c r="F53" s="15">
        <v>1</v>
      </c>
      <c r="G53" s="15">
        <v>1</v>
      </c>
      <c r="H53" s="16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16">
        <v>0</v>
      </c>
      <c r="T53" s="16">
        <v>1</v>
      </c>
      <c r="X53" s="2">
        <f t="shared" si="2"/>
        <v>-0.40546371150494637</v>
      </c>
      <c r="Y53" s="3">
        <f t="shared" si="3"/>
        <v>0.66666759773612883</v>
      </c>
      <c r="Z53" s="13">
        <f t="shared" si="4"/>
        <v>0.20000016759240954</v>
      </c>
      <c r="AA53" s="28"/>
      <c r="AB53" s="2" t="str">
        <f t="shared" si="5"/>
        <v/>
      </c>
    </row>
    <row r="54" spans="2:28" x14ac:dyDescent="0.25">
      <c r="B54" s="18" t="s">
        <v>39</v>
      </c>
      <c r="C54" s="24" t="s">
        <v>107</v>
      </c>
      <c r="D54" s="15">
        <v>1</v>
      </c>
      <c r="E54" s="15">
        <v>1</v>
      </c>
      <c r="F54" s="15">
        <v>0</v>
      </c>
      <c r="G54" s="15">
        <v>0</v>
      </c>
      <c r="H54" s="16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16">
        <v>0</v>
      </c>
      <c r="T54" s="16">
        <v>1</v>
      </c>
      <c r="X54" s="2">
        <f t="shared" si="2"/>
        <v>0</v>
      </c>
      <c r="Y54" s="3">
        <f t="shared" si="3"/>
        <v>1</v>
      </c>
      <c r="Z54" s="13">
        <f t="shared" si="4"/>
        <v>0.29999983240759043</v>
      </c>
      <c r="AA54" s="28"/>
      <c r="AB54" s="2" t="str">
        <f t="shared" si="5"/>
        <v/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N42"/>
  <sheetViews>
    <sheetView topLeftCell="Z5" zoomScale="150" zoomScaleNormal="150" workbookViewId="0">
      <pane ySplit="1152" topLeftCell="A19" activePane="bottomLeft"/>
      <selection activeCell="I6" sqref="I6"/>
      <selection pane="bottomLeft" activeCell="AJ4" sqref="AJ4"/>
    </sheetView>
  </sheetViews>
  <sheetFormatPr defaultColWidth="11.5546875" defaultRowHeight="13.2" x14ac:dyDescent="0.25"/>
  <cols>
    <col min="4" max="5" width="11.5546875" style="1"/>
    <col min="6" max="6" width="8.33203125" style="1" customWidth="1"/>
    <col min="7" max="7" width="7.44140625" style="1" customWidth="1"/>
    <col min="8" max="16" width="11.5546875" style="1" customWidth="1"/>
    <col min="17" max="17" width="10.6640625" style="1" customWidth="1"/>
    <col min="18" max="26" width="11.5546875" style="1" customWidth="1"/>
    <col min="27" max="27" width="12" style="1" customWidth="1"/>
    <col min="28" max="31" width="11.5546875" style="1"/>
    <col min="32" max="33" width="11.5546875" style="2"/>
    <col min="34" max="34" width="8" style="3" customWidth="1"/>
    <col min="35" max="35" width="11.5546875" style="4"/>
    <col min="36" max="54" width="11.5546875" style="2"/>
    <col min="55" max="1028" width="11.5546875" style="5"/>
  </cols>
  <sheetData>
    <row r="1" spans="2:36" x14ac:dyDescent="0.25"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2:36" x14ac:dyDescent="0.25">
      <c r="B2" t="s">
        <v>0</v>
      </c>
      <c r="C2" t="s">
        <v>1</v>
      </c>
      <c r="E2" s="1" t="s">
        <v>2</v>
      </c>
      <c r="F2" s="1">
        <f t="shared" ref="F2" si="0">(F3-$B$3)*SQRT(2)/($C$3)^2</f>
        <v>1.6921685263079394E-12</v>
      </c>
      <c r="G2" s="1">
        <f t="shared" ref="G2" si="1">(G3-$B$3)*SQRT(2)/($C$3)^2</f>
        <v>1.355523151531039E-5</v>
      </c>
      <c r="H2" s="1">
        <f t="shared" ref="H2" si="2">(H3-$B$3)*SQRT(2)/($C$3)^2</f>
        <v>0</v>
      </c>
      <c r="I2" s="1">
        <f t="shared" ref="I2" si="3">(I3-$B$3)*SQRT(2)/($C$3)^2</f>
        <v>1.4893131800429641E-4</v>
      </c>
      <c r="J2" s="1">
        <f t="shared" ref="J2" si="4">(J3-$B$3)*SQRT(2)/($C$3)^2</f>
        <v>4.5096655649846715E-5</v>
      </c>
      <c r="K2" s="1">
        <f t="shared" ref="K2" si="5">(K3-$B$3)*SQRT(2)/($C$3)^2</f>
        <v>6.3575737722213288E-5</v>
      </c>
      <c r="L2" s="1">
        <f t="shared" ref="L2" si="6">(L3-$B$3)*SQRT(2)/($C$3)^2</f>
        <v>0</v>
      </c>
      <c r="M2" s="1">
        <f t="shared" ref="M2" si="7">(M3-$B$3)*SQRT(2)/($C$3)^2</f>
        <v>1.5043042211055013E-4</v>
      </c>
      <c r="N2" s="1">
        <f t="shared" ref="N2" si="8">(N3-$B$3)*SQRT(2)/($C$3)^2</f>
        <v>5.013198644508495E-5</v>
      </c>
      <c r="O2" s="1">
        <f t="shared" ref="O2" si="9">(O3-$B$3)*SQRT(2)/($C$3)^2</f>
        <v>1.0549190213340115E-4</v>
      </c>
      <c r="P2" s="1">
        <f t="shared" ref="P2" si="10">(P3-$B$3)*SQRT(2)/($C$3)^2</f>
        <v>7.3290466406797879E-5</v>
      </c>
      <c r="Q2" s="1">
        <f t="shared" ref="Q2" si="11">(Q3-$B$3)*SQRT(2)/($C$3)^2</f>
        <v>2.7392614097011264E-5</v>
      </c>
      <c r="R2" s="1">
        <f t="shared" ref="R2" si="12">(R3-$B$3)*SQRT(2)/($C$3)^2</f>
        <v>1.8039163096179272E-6</v>
      </c>
      <c r="S2" s="1">
        <f t="shared" ref="S2" si="13">(S3-$B$3)*SQRT(2)/($C$3)^2</f>
        <v>1.7149684702505256E-5</v>
      </c>
      <c r="T2" s="1">
        <f t="shared" ref="T2" si="14">(T3-$B$3)*SQRT(2)/($C$3)^2</f>
        <v>1.490965478403783E-4</v>
      </c>
      <c r="U2" s="1">
        <f t="shared" ref="U2" si="15">(U3-$B$3)*SQRT(2)/($C$3)^2</f>
        <v>0</v>
      </c>
      <c r="V2" s="1">
        <f t="shared" ref="V2" si="16">(V3-$B$3)*SQRT(2)/($C$3)^2</f>
        <v>4.3132675646137172E-6</v>
      </c>
      <c r="W2" s="1">
        <f t="shared" ref="W2" si="17">(W3-$B$3)*SQRT(2)/($C$3)^2</f>
        <v>2.0279616906464301E-5</v>
      </c>
      <c r="X2" s="1">
        <f t="shared" ref="X2" si="18">(X3-$B$3)*SQRT(2)/($C$3)^2</f>
        <v>6.9546293633656355E-6</v>
      </c>
      <c r="Y2" s="1">
        <f t="shared" ref="Y2" si="19">(Y3-$B$3)*SQRT(2)/($C$3)^2</f>
        <v>6.4025775239429901E-7</v>
      </c>
      <c r="Z2" s="1">
        <f t="shared" ref="Z2" si="20">(Z3-$B$3)*SQRT(2)/($C$3)^2</f>
        <v>7.609152614731639E-5</v>
      </c>
      <c r="AA2" s="1">
        <f t="shared" ref="AA2" si="21">(AA3-$B$3)*SQRT(2)/($C$3)^2</f>
        <v>7.8407457965859757E-5</v>
      </c>
      <c r="AB2" s="1">
        <f t="shared" ref="AB2" si="22">(AB3-$B$3)*SQRT(2)/($C$3)^2</f>
        <v>0</v>
      </c>
      <c r="AC2" s="1">
        <f t="shared" ref="AC2" si="23">(AC3-$B$3)*SQRT(2)/($C$3)^2</f>
        <v>0</v>
      </c>
      <c r="AD2" s="1">
        <f t="shared" ref="AD2" si="24">(AD3-$B$3)*SQRT(2)/($C$3)^2</f>
        <v>0</v>
      </c>
      <c r="AE2" s="1">
        <f t="shared" ref="AE2" si="25">(AE3-$B$3)*SQRT(2)/($C$3)^2</f>
        <v>0</v>
      </c>
      <c r="AJ2" s="2">
        <f>SUM(F2:G2)</f>
        <v>1.3555233207478917E-5</v>
      </c>
    </row>
    <row r="3" spans="2:36" x14ac:dyDescent="0.25">
      <c r="B3">
        <v>0</v>
      </c>
      <c r="C3">
        <v>100</v>
      </c>
      <c r="E3" s="1" t="s">
        <v>3</v>
      </c>
      <c r="F3" s="1">
        <f t="shared" ref="F3" si="26">(F4-$B$3)^2/2/$C$3</f>
        <v>1.1965438398627905E-8</v>
      </c>
      <c r="G3" s="1">
        <f t="shared" ref="G3" si="27">(G4-$B$3)^2/2/$C$3</f>
        <v>9.5849961250295768E-2</v>
      </c>
      <c r="H3" s="1">
        <f t="shared" ref="H3" si="28">(H4-$B$3)^2/2/$C$3</f>
        <v>0</v>
      </c>
      <c r="I3" s="1">
        <f t="shared" ref="I3" si="29">(I4-$B$3)^2/2/$C$3</f>
        <v>1.0531034489188815</v>
      </c>
      <c r="J3" s="1">
        <f t="shared" ref="J3" si="30">(J4-$B$3)^2/2/$C$3</f>
        <v>0.31888151018841243</v>
      </c>
      <c r="K3" s="1">
        <f t="shared" ref="K3" si="31">(K4-$B$3)^2/2/$C$3</f>
        <v>0.44954835262314402</v>
      </c>
      <c r="L3" s="1">
        <f t="shared" ref="L3" si="32">(L4-$B$3)^2/2/$C$3</f>
        <v>0</v>
      </c>
      <c r="M3" s="1">
        <f t="shared" ref="M3" si="33">(M4-$B$3)^2/2/$C$3</f>
        <v>1.0637037157112474</v>
      </c>
      <c r="N3" s="1">
        <f t="shared" ref="N3" si="34">(N4-$B$3)^2/2/$C$3</f>
        <v>0.35448667569671649</v>
      </c>
      <c r="O3" s="1">
        <f t="shared" ref="O3" si="35">(O4-$B$3)^2/2/$C$3</f>
        <v>0.74594039358795572</v>
      </c>
      <c r="P3" s="1">
        <f t="shared" ref="P3" si="36">(P4-$B$3)^2/2/$C$3</f>
        <v>0.51824185792571642</v>
      </c>
      <c r="Q3" s="1">
        <f t="shared" ref="Q3" si="37">(Q4-$B$3)^2/2/$C$3</f>
        <v>0.19369503182422879</v>
      </c>
      <c r="R3" s="1">
        <f t="shared" ref="R3" si="38">(R4-$B$3)^2/2/$C$3</f>
        <v>1.2755614552238479E-2</v>
      </c>
      <c r="S3" s="1">
        <f t="shared" ref="S3" si="39">(S4-$B$3)^2/2/$C$3</f>
        <v>0.12126658348352663</v>
      </c>
      <c r="T3" s="1">
        <f t="shared" ref="T3" si="40">(T4-$B$3)^2/2/$C$3</f>
        <v>1.0542718002943599</v>
      </c>
      <c r="U3" s="1">
        <f t="shared" ref="U3" si="41">(U4-$B$3)^2/2/$C$3</f>
        <v>0</v>
      </c>
      <c r="V3" s="1">
        <f t="shared" ref="V3" si="42">(V4-$B$3)^2/2/$C$3</f>
        <v>3.0499407440103442E-2</v>
      </c>
      <c r="W3" s="1">
        <f t="shared" ref="W3" si="43">(W4-$B$3)^2/2/$C$3</f>
        <v>0.14339854634426261</v>
      </c>
      <c r="X3" s="1">
        <f t="shared" ref="X3" si="44">(X4-$B$3)^2/2/$C$3</f>
        <v>4.9176655834749228E-2</v>
      </c>
      <c r="Y3" s="1">
        <f t="shared" ref="Y3" si="45">(Y4-$B$3)^2/2/$C$3</f>
        <v>4.5273059842526626E-3</v>
      </c>
      <c r="Z3" s="1">
        <f t="shared" ref="Z3" si="46">(Z4-$B$3)^2/2/$C$3</f>
        <v>0.53804834129600909</v>
      </c>
      <c r="AA3" s="1">
        <f t="shared" ref="AA3" si="47">(AA4-$B$3)^2/2/$C$3</f>
        <v>0.55442445223258618</v>
      </c>
      <c r="AB3" s="1">
        <f t="shared" ref="AB3" si="48">(AB4-$B$3)^2/2/$C$3</f>
        <v>0</v>
      </c>
      <c r="AC3" s="1">
        <f t="shared" ref="AC3" si="49">(AC4-$B$3)^2/2/$C$3</f>
        <v>0</v>
      </c>
      <c r="AD3" s="1">
        <f t="shared" ref="AD3" si="50">(AD4-$B$3)^2/2/$C$3</f>
        <v>0</v>
      </c>
      <c r="AE3" s="1">
        <f t="shared" ref="AE3" si="51">(AE4-$B$3)^2/2/$C$3</f>
        <v>0</v>
      </c>
      <c r="AJ3" s="2">
        <f>SUM(F3:G3)</f>
        <v>9.5849973215734172E-2</v>
      </c>
    </row>
    <row r="4" spans="2:36" x14ac:dyDescent="0.25">
      <c r="E4" s="1" t="s">
        <v>4</v>
      </c>
      <c r="F4" s="1">
        <v>1.5469607880374929E-3</v>
      </c>
      <c r="G4" s="1">
        <v>4.378354970769176</v>
      </c>
      <c r="H4" s="1">
        <v>0</v>
      </c>
      <c r="I4" s="1">
        <v>14.512776777163504</v>
      </c>
      <c r="J4" s="1">
        <v>7.9860066389705997</v>
      </c>
      <c r="K4" s="1">
        <v>9.482071003985828</v>
      </c>
      <c r="L4" s="1">
        <v>0</v>
      </c>
      <c r="M4" s="1">
        <v>14.585634821366176</v>
      </c>
      <c r="N4" s="1">
        <v>8.4200555306567484</v>
      </c>
      <c r="O4" s="1">
        <v>12.214257190578195</v>
      </c>
      <c r="P4" s="1">
        <v>10.180784428772828</v>
      </c>
      <c r="Q4" s="1">
        <v>6.2240667063300146</v>
      </c>
      <c r="R4" s="1">
        <v>1.5972235004681392</v>
      </c>
      <c r="S4" s="1">
        <v>4.9247656489121718</v>
      </c>
      <c r="T4" s="1">
        <v>14.520825047457599</v>
      </c>
      <c r="U4" s="1">
        <v>0</v>
      </c>
      <c r="V4" s="1">
        <v>2.4697938148802399</v>
      </c>
      <c r="W4" s="1">
        <v>5.3553439916454035</v>
      </c>
      <c r="X4" s="1">
        <v>3.1361331551689329</v>
      </c>
      <c r="Y4" s="1">
        <v>0.95155724833061539</v>
      </c>
      <c r="Z4" s="1">
        <v>10.373508001597234</v>
      </c>
      <c r="AA4" s="1">
        <v>10.530189478186859</v>
      </c>
      <c r="AB4" s="1">
        <v>0</v>
      </c>
      <c r="AC4" s="1">
        <v>0</v>
      </c>
      <c r="AD4" s="1">
        <v>0</v>
      </c>
      <c r="AE4" s="1">
        <v>0</v>
      </c>
      <c r="AI4" s="6" t="s">
        <v>5</v>
      </c>
      <c r="AJ4" s="2">
        <f>SUM(AJ7:AJ36)-AJ3</f>
        <v>-0.18839053350564483</v>
      </c>
    </row>
    <row r="6" spans="2:36" x14ac:dyDescent="0.25">
      <c r="B6" s="9" t="s">
        <v>6</v>
      </c>
      <c r="C6" s="9" t="s">
        <v>7</v>
      </c>
      <c r="D6" s="9" t="s">
        <v>8</v>
      </c>
      <c r="E6" s="9" t="s">
        <v>9</v>
      </c>
      <c r="F6" s="9" t="s">
        <v>11</v>
      </c>
      <c r="G6" s="9" t="s">
        <v>12</v>
      </c>
      <c r="H6" s="31" t="s">
        <v>128</v>
      </c>
      <c r="I6" s="31" t="s">
        <v>129</v>
      </c>
      <c r="J6" s="32" t="s">
        <v>130</v>
      </c>
      <c r="K6" s="32" t="s">
        <v>131</v>
      </c>
      <c r="L6" s="41" t="s">
        <v>128</v>
      </c>
      <c r="M6" s="41" t="s">
        <v>129</v>
      </c>
      <c r="N6" s="42" t="s">
        <v>130</v>
      </c>
      <c r="O6" s="42" t="s">
        <v>134</v>
      </c>
      <c r="P6" s="48" t="s">
        <v>128</v>
      </c>
      <c r="Q6" s="48" t="s">
        <v>129</v>
      </c>
      <c r="R6" s="49" t="s">
        <v>137</v>
      </c>
      <c r="S6" s="49" t="s">
        <v>138</v>
      </c>
      <c r="T6" s="51" t="s">
        <v>128</v>
      </c>
      <c r="U6" s="51" t="s">
        <v>129</v>
      </c>
      <c r="V6" s="52" t="s">
        <v>141</v>
      </c>
      <c r="W6" s="52" t="s">
        <v>142</v>
      </c>
      <c r="X6" s="55" t="s">
        <v>128</v>
      </c>
      <c r="Y6" s="55" t="s">
        <v>129</v>
      </c>
      <c r="Z6" s="56" t="s">
        <v>137</v>
      </c>
      <c r="AA6" s="56" t="s">
        <v>138</v>
      </c>
      <c r="AB6" s="57" t="s">
        <v>128</v>
      </c>
      <c r="AC6" s="57" t="s">
        <v>129</v>
      </c>
      <c r="AD6" s="58" t="s">
        <v>146</v>
      </c>
      <c r="AE6" s="58" t="s">
        <v>147</v>
      </c>
      <c r="AG6" s="2" t="s">
        <v>13</v>
      </c>
      <c r="AH6" s="3" t="s">
        <v>14</v>
      </c>
      <c r="AI6" s="4" t="s">
        <v>15</v>
      </c>
      <c r="AJ6" s="2" t="s">
        <v>16</v>
      </c>
    </row>
    <row r="7" spans="2:36" x14ac:dyDescent="0.25">
      <c r="B7" s="29" t="s">
        <v>17</v>
      </c>
      <c r="C7" s="29" t="s">
        <v>17</v>
      </c>
      <c r="D7" s="11">
        <v>1</v>
      </c>
      <c r="E7" s="11">
        <v>1</v>
      </c>
      <c r="F7" s="11">
        <v>1</v>
      </c>
      <c r="G7" s="12">
        <v>0</v>
      </c>
      <c r="H7" s="34">
        <v>1</v>
      </c>
      <c r="I7" s="34">
        <v>0</v>
      </c>
      <c r="J7" s="34">
        <v>0</v>
      </c>
      <c r="K7" s="34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G7" s="2">
        <f>-SUMPRODUCT(F7:AE7,F$4:AE$4)</f>
        <v>-1.5469607880374929E-3</v>
      </c>
      <c r="AH7" s="3">
        <f t="shared" ref="AH7:AH42" si="52">EXP(AG7)</f>
        <v>0.99845423513903875</v>
      </c>
      <c r="AI7" s="13">
        <f>AH7/SUMIF(B:B,B7,AH:AH)</f>
        <v>0.99958377123539088</v>
      </c>
      <c r="AJ7" s="2">
        <f>LOG(AI7)*D7</f>
        <v>-1.808034860958135E-4</v>
      </c>
    </row>
    <row r="8" spans="2:36" x14ac:dyDescent="0.25">
      <c r="B8" s="36" t="s">
        <v>17</v>
      </c>
      <c r="C8" s="36" t="s">
        <v>132</v>
      </c>
      <c r="D8" s="37">
        <v>0</v>
      </c>
      <c r="E8" s="37">
        <v>1</v>
      </c>
      <c r="F8" s="37">
        <v>1</v>
      </c>
      <c r="G8" s="38">
        <v>0</v>
      </c>
      <c r="H8" s="39">
        <v>1</v>
      </c>
      <c r="I8" s="39">
        <v>0</v>
      </c>
      <c r="J8" s="39">
        <v>1</v>
      </c>
      <c r="K8" s="39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G8" s="2">
        <f t="shared" ref="AG8:AG42" si="53">-SUMPRODUCT(F8:AE8,F$4:AE$4)</f>
        <v>-7.9875535997586375</v>
      </c>
      <c r="AH8" s="3">
        <f t="shared" si="52"/>
        <v>3.3966402191376013E-4</v>
      </c>
      <c r="AI8" s="13">
        <f t="shared" ref="AI8:AI42" si="54">AH8/SUMIF(B:B,B8,AH:AH)</f>
        <v>3.4004827865771623E-4</v>
      </c>
      <c r="AJ8" s="2">
        <f t="shared" ref="AJ8:AJ42" si="55">LOG(AI8)*D8</f>
        <v>0</v>
      </c>
    </row>
    <row r="9" spans="2:36" x14ac:dyDescent="0.25">
      <c r="B9" s="36" t="s">
        <v>17</v>
      </c>
      <c r="C9" s="36" t="s">
        <v>133</v>
      </c>
      <c r="D9" s="37">
        <v>0</v>
      </c>
      <c r="E9" s="37">
        <v>1</v>
      </c>
      <c r="F9" s="37">
        <v>1</v>
      </c>
      <c r="G9" s="38">
        <v>0</v>
      </c>
      <c r="H9" s="39">
        <v>1</v>
      </c>
      <c r="I9" s="39">
        <v>0</v>
      </c>
      <c r="J9" s="39">
        <v>0</v>
      </c>
      <c r="K9" s="39">
        <v>1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G9" s="2">
        <f t="shared" si="53"/>
        <v>-9.483617964773865</v>
      </c>
      <c r="AH9" s="3">
        <f t="shared" si="52"/>
        <v>7.6088154307406053E-5</v>
      </c>
      <c r="AI9" s="13">
        <f t="shared" si="54"/>
        <v>7.6174231679578306E-5</v>
      </c>
      <c r="AJ9" s="2">
        <f t="shared" si="55"/>
        <v>0</v>
      </c>
    </row>
    <row r="10" spans="2:36" x14ac:dyDescent="0.25">
      <c r="B10" s="30" t="s">
        <v>17</v>
      </c>
      <c r="C10" s="30" t="s">
        <v>18</v>
      </c>
      <c r="D10" s="15">
        <v>0</v>
      </c>
      <c r="E10" s="15">
        <v>1</v>
      </c>
      <c r="F10" s="15">
        <v>0</v>
      </c>
      <c r="G10" s="16">
        <v>1</v>
      </c>
      <c r="H10" s="35">
        <v>0</v>
      </c>
      <c r="I10" s="35">
        <v>1</v>
      </c>
      <c r="J10" s="35">
        <v>0</v>
      </c>
      <c r="K10" s="35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G10" s="2">
        <f t="shared" si="53"/>
        <v>-18.891131747932679</v>
      </c>
      <c r="AH10" s="3">
        <f t="shared" si="52"/>
        <v>6.2472045332661059E-9</v>
      </c>
      <c r="AI10" s="13">
        <f t="shared" si="54"/>
        <v>6.2542719007760806E-9</v>
      </c>
      <c r="AJ10" s="2">
        <f t="shared" si="55"/>
        <v>0</v>
      </c>
    </row>
    <row r="11" spans="2:36" x14ac:dyDescent="0.25">
      <c r="B11" s="30" t="s">
        <v>19</v>
      </c>
      <c r="C11" s="30" t="s">
        <v>19</v>
      </c>
      <c r="D11" s="15">
        <v>1</v>
      </c>
      <c r="E11" s="15">
        <v>1</v>
      </c>
      <c r="F11" s="15">
        <v>1</v>
      </c>
      <c r="G11" s="16">
        <v>0</v>
      </c>
      <c r="H11" s="35">
        <v>1</v>
      </c>
      <c r="I11" s="35">
        <v>0</v>
      </c>
      <c r="J11" s="35">
        <v>0</v>
      </c>
      <c r="K11" s="35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G11" s="2">
        <f t="shared" si="53"/>
        <v>-1.5469607880374929E-3</v>
      </c>
      <c r="AH11" s="3">
        <f t="shared" si="52"/>
        <v>0.99845423513903875</v>
      </c>
      <c r="AI11" s="13">
        <f t="shared" si="54"/>
        <v>0.99999950128463522</v>
      </c>
      <c r="AJ11" s="2">
        <f t="shared" si="55"/>
        <v>-2.1658938497379217E-7</v>
      </c>
    </row>
    <row r="12" spans="2:36" x14ac:dyDescent="0.25">
      <c r="B12" s="30" t="s">
        <v>19</v>
      </c>
      <c r="C12" s="30" t="s">
        <v>20</v>
      </c>
      <c r="D12" s="15">
        <v>0</v>
      </c>
      <c r="E12" s="15">
        <v>1</v>
      </c>
      <c r="F12" s="15">
        <v>0</v>
      </c>
      <c r="G12" s="16">
        <v>0</v>
      </c>
      <c r="H12" s="35">
        <v>0</v>
      </c>
      <c r="I12" s="35">
        <v>1</v>
      </c>
      <c r="J12" s="35">
        <v>0</v>
      </c>
      <c r="K12" s="35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G12" s="2">
        <f t="shared" si="53"/>
        <v>-14.512776777163504</v>
      </c>
      <c r="AH12" s="3">
        <f t="shared" si="52"/>
        <v>4.9794471648237926E-7</v>
      </c>
      <c r="AI12" s="13">
        <f t="shared" si="54"/>
        <v>4.987153648362837E-7</v>
      </c>
      <c r="AJ12" s="2">
        <f t="shared" si="55"/>
        <v>0</v>
      </c>
    </row>
    <row r="13" spans="2:36" x14ac:dyDescent="0.25">
      <c r="B13" s="40" t="s">
        <v>21</v>
      </c>
      <c r="C13" s="40" t="s">
        <v>21</v>
      </c>
      <c r="D13" s="15">
        <v>1</v>
      </c>
      <c r="E13" s="15">
        <v>1</v>
      </c>
      <c r="F13" s="15">
        <v>1</v>
      </c>
      <c r="G13" s="16">
        <v>0</v>
      </c>
      <c r="H13" s="33">
        <v>0</v>
      </c>
      <c r="I13" s="33">
        <v>0</v>
      </c>
      <c r="J13" s="33">
        <v>0</v>
      </c>
      <c r="K13" s="33">
        <v>0</v>
      </c>
      <c r="L13" s="43">
        <v>1</v>
      </c>
      <c r="M13" s="43">
        <v>0</v>
      </c>
      <c r="N13" s="43">
        <v>0</v>
      </c>
      <c r="O13" s="4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G13" s="2">
        <f t="shared" si="53"/>
        <v>-1.5469607880374929E-3</v>
      </c>
      <c r="AH13" s="3">
        <f t="shared" si="52"/>
        <v>0.99845423513903875</v>
      </c>
      <c r="AI13" s="13">
        <f t="shared" si="54"/>
        <v>0.99977468330414643</v>
      </c>
      <c r="AJ13" s="2">
        <f t="shared" si="55"/>
        <v>-9.7864823393280367E-5</v>
      </c>
    </row>
    <row r="14" spans="2:36" x14ac:dyDescent="0.25">
      <c r="B14" s="40" t="s">
        <v>21</v>
      </c>
      <c r="C14" s="40" t="s">
        <v>135</v>
      </c>
      <c r="D14" s="15">
        <v>0</v>
      </c>
      <c r="E14" s="15">
        <v>1</v>
      </c>
      <c r="F14" s="15">
        <v>1</v>
      </c>
      <c r="G14" s="16">
        <v>0</v>
      </c>
      <c r="H14" s="33">
        <v>0</v>
      </c>
      <c r="I14" s="33">
        <v>0</v>
      </c>
      <c r="J14" s="33">
        <v>0</v>
      </c>
      <c r="K14" s="33">
        <v>0</v>
      </c>
      <c r="L14" s="43">
        <v>1</v>
      </c>
      <c r="M14" s="43">
        <v>0</v>
      </c>
      <c r="N14" s="43">
        <v>1</v>
      </c>
      <c r="O14" s="4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G14" s="2">
        <f t="shared" si="53"/>
        <v>-8.4216024914447853</v>
      </c>
      <c r="AH14" s="3">
        <f t="shared" si="52"/>
        <v>2.2006172309364951E-4</v>
      </c>
      <c r="AI14" s="13">
        <f t="shared" si="54"/>
        <v>2.2035275305600825E-4</v>
      </c>
      <c r="AJ14" s="2">
        <f t="shared" si="55"/>
        <v>0</v>
      </c>
    </row>
    <row r="15" spans="2:36" x14ac:dyDescent="0.25">
      <c r="B15" s="40" t="s">
        <v>21</v>
      </c>
      <c r="C15" s="40" t="s">
        <v>136</v>
      </c>
      <c r="D15" s="15">
        <v>0</v>
      </c>
      <c r="E15" s="15">
        <v>1</v>
      </c>
      <c r="F15" s="15">
        <v>1</v>
      </c>
      <c r="G15" s="16">
        <v>0</v>
      </c>
      <c r="H15" s="33">
        <v>0</v>
      </c>
      <c r="I15" s="33">
        <v>0</v>
      </c>
      <c r="J15" s="33">
        <v>0</v>
      </c>
      <c r="K15" s="33">
        <v>0</v>
      </c>
      <c r="L15" s="43">
        <v>1</v>
      </c>
      <c r="M15" s="43">
        <v>0</v>
      </c>
      <c r="N15" s="43">
        <v>0</v>
      </c>
      <c r="O15" s="43">
        <v>1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G15" s="2">
        <f t="shared" si="53"/>
        <v>-12.215804151366232</v>
      </c>
      <c r="AH15" s="3">
        <f t="shared" si="52"/>
        <v>4.9515784602032205E-6</v>
      </c>
      <c r="AI15" s="13">
        <f t="shared" si="54"/>
        <v>4.958126885220669E-6</v>
      </c>
      <c r="AJ15" s="2">
        <f t="shared" si="55"/>
        <v>0</v>
      </c>
    </row>
    <row r="16" spans="2:36" x14ac:dyDescent="0.25">
      <c r="B16" s="40" t="s">
        <v>21</v>
      </c>
      <c r="C16" s="40" t="s">
        <v>22</v>
      </c>
      <c r="D16" s="15">
        <v>0</v>
      </c>
      <c r="E16" s="15">
        <v>1</v>
      </c>
      <c r="F16" s="15">
        <v>0</v>
      </c>
      <c r="G16" s="16">
        <v>1</v>
      </c>
      <c r="H16" s="33">
        <v>0</v>
      </c>
      <c r="I16" s="33">
        <v>0</v>
      </c>
      <c r="J16" s="33">
        <v>0</v>
      </c>
      <c r="K16" s="33">
        <v>0</v>
      </c>
      <c r="L16" s="43">
        <v>0</v>
      </c>
      <c r="M16" s="43">
        <v>1</v>
      </c>
      <c r="N16" s="43">
        <v>0</v>
      </c>
      <c r="O16" s="4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G16" s="2">
        <f t="shared" si="53"/>
        <v>-18.963989792135351</v>
      </c>
      <c r="AH16" s="3">
        <f t="shared" si="52"/>
        <v>5.808230973004542E-9</v>
      </c>
      <c r="AI16" s="13">
        <f t="shared" si="54"/>
        <v>5.8159123144831094E-9</v>
      </c>
      <c r="AJ16" s="2">
        <f t="shared" si="55"/>
        <v>0</v>
      </c>
    </row>
    <row r="17" spans="2:36" x14ac:dyDescent="0.25">
      <c r="B17" s="40" t="s">
        <v>23</v>
      </c>
      <c r="C17" s="40" t="s">
        <v>23</v>
      </c>
      <c r="D17" s="15">
        <v>1</v>
      </c>
      <c r="E17" s="15">
        <v>1</v>
      </c>
      <c r="F17" s="15">
        <v>1</v>
      </c>
      <c r="G17" s="16">
        <v>0</v>
      </c>
      <c r="H17" s="33">
        <v>0</v>
      </c>
      <c r="I17" s="33">
        <v>0</v>
      </c>
      <c r="J17" s="33">
        <v>0</v>
      </c>
      <c r="K17" s="33">
        <v>0</v>
      </c>
      <c r="L17" s="43">
        <v>1</v>
      </c>
      <c r="M17" s="43">
        <v>0</v>
      </c>
      <c r="N17" s="43">
        <v>0</v>
      </c>
      <c r="O17" s="4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G17" s="2">
        <f t="shared" si="53"/>
        <v>-1.5469607880374929E-3</v>
      </c>
      <c r="AH17" s="3">
        <f t="shared" si="52"/>
        <v>0.99845423513903875</v>
      </c>
      <c r="AI17" s="13">
        <f t="shared" si="54"/>
        <v>0.99999953632795036</v>
      </c>
      <c r="AJ17" s="2">
        <f t="shared" si="55"/>
        <v>-2.0137025925815645E-7</v>
      </c>
    </row>
    <row r="18" spans="2:36" x14ac:dyDescent="0.25">
      <c r="B18" s="40" t="s">
        <v>23</v>
      </c>
      <c r="C18" s="40" t="s">
        <v>24</v>
      </c>
      <c r="D18" s="15">
        <v>0</v>
      </c>
      <c r="E18" s="15">
        <v>1</v>
      </c>
      <c r="F18" s="15">
        <v>0</v>
      </c>
      <c r="G18" s="16">
        <v>0</v>
      </c>
      <c r="H18" s="33">
        <v>0</v>
      </c>
      <c r="I18" s="33">
        <v>0</v>
      </c>
      <c r="J18" s="33">
        <v>0</v>
      </c>
      <c r="K18" s="33">
        <v>0</v>
      </c>
      <c r="L18" s="43">
        <v>0</v>
      </c>
      <c r="M18" s="43">
        <v>1</v>
      </c>
      <c r="N18" s="43">
        <v>0</v>
      </c>
      <c r="O18" s="43">
        <f>F18</f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G18" s="2">
        <f t="shared" si="53"/>
        <v>-14.585634821366176</v>
      </c>
      <c r="AH18" s="3">
        <f t="shared" si="52"/>
        <v>4.6295553630687015E-7</v>
      </c>
      <c r="AI18" s="13">
        <f t="shared" si="54"/>
        <v>4.6367204960862265E-7</v>
      </c>
      <c r="AJ18" s="2">
        <f t="shared" si="55"/>
        <v>0</v>
      </c>
    </row>
    <row r="19" spans="2:36" x14ac:dyDescent="0.25">
      <c r="B19" s="44" t="s">
        <v>25</v>
      </c>
      <c r="C19" s="44" t="s">
        <v>26</v>
      </c>
      <c r="D19" s="15">
        <v>0</v>
      </c>
      <c r="E19" s="15">
        <v>1</v>
      </c>
      <c r="F19" s="15">
        <v>1</v>
      </c>
      <c r="G19" s="16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50">
        <v>1</v>
      </c>
      <c r="Q19" s="50">
        <v>1</v>
      </c>
      <c r="R19" s="50">
        <v>0</v>
      </c>
      <c r="S19" s="50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G19" s="2">
        <f t="shared" si="53"/>
        <v>-16.406398095890879</v>
      </c>
      <c r="AH19" s="3">
        <f t="shared" si="52"/>
        <v>7.4953486493283202E-8</v>
      </c>
      <c r="AI19" s="13">
        <f t="shared" si="54"/>
        <v>5.9742597899808212E-6</v>
      </c>
      <c r="AJ19" s="2">
        <f t="shared" si="55"/>
        <v>0</v>
      </c>
    </row>
    <row r="20" spans="2:36" x14ac:dyDescent="0.25">
      <c r="B20" s="44" t="s">
        <v>25</v>
      </c>
      <c r="C20" s="44" t="s">
        <v>139</v>
      </c>
      <c r="D20" s="15">
        <v>0</v>
      </c>
      <c r="E20" s="15">
        <v>1</v>
      </c>
      <c r="F20" s="15">
        <v>1</v>
      </c>
      <c r="G20" s="16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50">
        <v>1</v>
      </c>
      <c r="Q20" s="50">
        <v>1</v>
      </c>
      <c r="R20" s="50">
        <v>1</v>
      </c>
      <c r="S20" s="50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G20" s="2">
        <f t="shared" si="53"/>
        <v>-18.003621596359018</v>
      </c>
      <c r="AH20" s="3">
        <f t="shared" si="52"/>
        <v>1.5174922662961855E-8</v>
      </c>
      <c r="AI20" s="13">
        <f t="shared" si="54"/>
        <v>1.2095358671477664E-6</v>
      </c>
      <c r="AJ20" s="2">
        <f t="shared" si="55"/>
        <v>0</v>
      </c>
    </row>
    <row r="21" spans="2:36" x14ac:dyDescent="0.25">
      <c r="B21" s="44" t="s">
        <v>25</v>
      </c>
      <c r="C21" s="44" t="s">
        <v>140</v>
      </c>
      <c r="D21" s="15">
        <v>0</v>
      </c>
      <c r="E21" s="15">
        <v>1</v>
      </c>
      <c r="F21" s="15">
        <v>1</v>
      </c>
      <c r="G21" s="16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50">
        <v>1</v>
      </c>
      <c r="Q21" s="50">
        <v>1</v>
      </c>
      <c r="R21" s="50">
        <v>0</v>
      </c>
      <c r="S21" s="50">
        <v>1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G21" s="2">
        <f t="shared" si="53"/>
        <v>-21.33116374480305</v>
      </c>
      <c r="AH21" s="3">
        <f t="shared" si="52"/>
        <v>5.4449424398615144E-10</v>
      </c>
      <c r="AI21" s="13">
        <f t="shared" si="54"/>
        <v>4.3399583126983389E-8</v>
      </c>
      <c r="AJ21" s="2">
        <f t="shared" si="55"/>
        <v>0</v>
      </c>
    </row>
    <row r="22" spans="2:36" x14ac:dyDescent="0.25">
      <c r="B22" s="44" t="s">
        <v>25</v>
      </c>
      <c r="C22" s="44" t="s">
        <v>25</v>
      </c>
      <c r="D22" s="15">
        <v>1</v>
      </c>
      <c r="E22" s="15">
        <v>1</v>
      </c>
      <c r="F22" s="15">
        <v>0</v>
      </c>
      <c r="G22" s="16">
        <v>1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50">
        <v>0</v>
      </c>
      <c r="Q22" s="50">
        <v>0</v>
      </c>
      <c r="R22" s="50">
        <v>0</v>
      </c>
      <c r="S22" s="50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G22" s="2">
        <f t="shared" si="53"/>
        <v>-4.378354970769176</v>
      </c>
      <c r="AH22" s="3">
        <f t="shared" si="52"/>
        <v>1.2545980158998575E-2</v>
      </c>
      <c r="AI22" s="13">
        <f t="shared" si="54"/>
        <v>0.99999277280475973</v>
      </c>
      <c r="AJ22" s="2">
        <f t="shared" si="55"/>
        <v>-3.1387423546509421E-6</v>
      </c>
    </row>
    <row r="23" spans="2:36" x14ac:dyDescent="0.25">
      <c r="B23" s="44" t="s">
        <v>27</v>
      </c>
      <c r="C23" s="44" t="s">
        <v>28</v>
      </c>
      <c r="D23" s="15">
        <v>0</v>
      </c>
      <c r="E23" s="15">
        <v>1</v>
      </c>
      <c r="F23" s="15">
        <v>1</v>
      </c>
      <c r="G23" s="16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50">
        <v>1</v>
      </c>
      <c r="Q23" s="50">
        <v>1</v>
      </c>
      <c r="R23" s="50">
        <v>0</v>
      </c>
      <c r="S23" s="50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G23" s="2">
        <f t="shared" si="53"/>
        <v>-16.406398095890879</v>
      </c>
      <c r="AH23" s="3">
        <f t="shared" si="52"/>
        <v>7.4953486493283202E-8</v>
      </c>
      <c r="AI23" s="13">
        <f t="shared" si="54"/>
        <v>7.4953480875258484E-8</v>
      </c>
      <c r="AJ23" s="2">
        <f t="shared" si="55"/>
        <v>0</v>
      </c>
    </row>
    <row r="24" spans="2:36" x14ac:dyDescent="0.25">
      <c r="B24" s="44" t="s">
        <v>27</v>
      </c>
      <c r="C24" s="44" t="s">
        <v>27</v>
      </c>
      <c r="D24" s="15">
        <v>1</v>
      </c>
      <c r="E24" s="15">
        <v>1</v>
      </c>
      <c r="F24" s="15">
        <v>0</v>
      </c>
      <c r="G24" s="16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50">
        <v>0</v>
      </c>
      <c r="Q24" s="50">
        <v>0</v>
      </c>
      <c r="R24" s="50">
        <v>0</v>
      </c>
      <c r="S24" s="50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G24" s="2">
        <f t="shared" si="53"/>
        <v>0</v>
      </c>
      <c r="AH24" s="3">
        <f t="shared" si="52"/>
        <v>1</v>
      </c>
      <c r="AI24" s="13">
        <f t="shared" si="54"/>
        <v>0.99999992504651913</v>
      </c>
      <c r="AJ24" s="2">
        <f t="shared" si="55"/>
        <v>-3.2551884359653103E-8</v>
      </c>
    </row>
    <row r="25" spans="2:36" x14ac:dyDescent="0.25">
      <c r="B25" s="45" t="s">
        <v>29</v>
      </c>
      <c r="C25" s="45" t="s">
        <v>30</v>
      </c>
      <c r="D25" s="15">
        <v>0</v>
      </c>
      <c r="E25" s="15">
        <v>1</v>
      </c>
      <c r="F25" s="15">
        <v>1</v>
      </c>
      <c r="G25" s="16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53">
        <v>1</v>
      </c>
      <c r="U25" s="53">
        <v>0</v>
      </c>
      <c r="V25" s="53">
        <v>0</v>
      </c>
      <c r="W25" s="5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G25" s="2">
        <f t="shared" si="53"/>
        <v>-14.522372008245636</v>
      </c>
      <c r="AH25" s="3">
        <f t="shared" si="52"/>
        <v>4.9318967122305703E-7</v>
      </c>
      <c r="AI25" s="13">
        <f t="shared" si="54"/>
        <v>3.9308889900292897E-5</v>
      </c>
      <c r="AJ25" s="2">
        <f t="shared" si="55"/>
        <v>0</v>
      </c>
    </row>
    <row r="26" spans="2:36" x14ac:dyDescent="0.25">
      <c r="B26" s="45" t="s">
        <v>29</v>
      </c>
      <c r="C26" s="45" t="s">
        <v>143</v>
      </c>
      <c r="D26" s="15">
        <v>0</v>
      </c>
      <c r="E26" s="15">
        <v>1</v>
      </c>
      <c r="F26" s="15">
        <v>1</v>
      </c>
      <c r="G26" s="16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53">
        <v>1</v>
      </c>
      <c r="U26" s="53">
        <v>0</v>
      </c>
      <c r="V26" s="53">
        <v>1</v>
      </c>
      <c r="W26" s="5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G26" s="2">
        <f t="shared" si="53"/>
        <v>-16.992165823125877</v>
      </c>
      <c r="AH26" s="3">
        <f t="shared" si="52"/>
        <v>4.1724980984780057E-8</v>
      </c>
      <c r="AI26" s="13">
        <f t="shared" si="54"/>
        <v>3.3256225329194508E-6</v>
      </c>
      <c r="AJ26" s="2">
        <f t="shared" si="55"/>
        <v>0</v>
      </c>
    </row>
    <row r="27" spans="2:36" x14ac:dyDescent="0.25">
      <c r="B27" s="45" t="s">
        <v>29</v>
      </c>
      <c r="C27" s="45" t="s">
        <v>144</v>
      </c>
      <c r="D27" s="15">
        <v>0</v>
      </c>
      <c r="E27" s="15">
        <v>1</v>
      </c>
      <c r="F27" s="15">
        <v>1</v>
      </c>
      <c r="G27" s="16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53">
        <v>1</v>
      </c>
      <c r="U27" s="53">
        <v>0</v>
      </c>
      <c r="V27" s="53">
        <v>0</v>
      </c>
      <c r="W27" s="53">
        <v>1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G27" s="2">
        <f t="shared" si="53"/>
        <v>-19.877715999891038</v>
      </c>
      <c r="AH27" s="3">
        <f t="shared" si="52"/>
        <v>2.3292581749993202E-9</v>
      </c>
      <c r="AI27" s="13">
        <f t="shared" si="54"/>
        <v>1.856497783567632E-7</v>
      </c>
      <c r="AJ27" s="2">
        <f t="shared" si="55"/>
        <v>0</v>
      </c>
    </row>
    <row r="28" spans="2:36" x14ac:dyDescent="0.25">
      <c r="B28" s="45" t="s">
        <v>29</v>
      </c>
      <c r="C28" s="45" t="s">
        <v>29</v>
      </c>
      <c r="D28" s="15">
        <v>1</v>
      </c>
      <c r="E28" s="15">
        <v>1</v>
      </c>
      <c r="F28" s="15">
        <v>0</v>
      </c>
      <c r="G28" s="16">
        <v>1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53">
        <v>0</v>
      </c>
      <c r="U28" s="53">
        <v>1</v>
      </c>
      <c r="V28" s="53">
        <v>0</v>
      </c>
      <c r="W28" s="5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G28" s="2">
        <f t="shared" si="53"/>
        <v>-4.378354970769176</v>
      </c>
      <c r="AH28" s="3">
        <f t="shared" si="52"/>
        <v>1.2545980158998575E-2</v>
      </c>
      <c r="AI28" s="13">
        <f t="shared" si="54"/>
        <v>0.99995717983778842</v>
      </c>
      <c r="AJ28" s="2">
        <f t="shared" si="55"/>
        <v>-1.8596958327917554E-5</v>
      </c>
    </row>
    <row r="29" spans="2:36" x14ac:dyDescent="0.25">
      <c r="B29" s="45" t="s">
        <v>31</v>
      </c>
      <c r="C29" s="45" t="s">
        <v>32</v>
      </c>
      <c r="D29" s="15">
        <v>0</v>
      </c>
      <c r="E29" s="15">
        <v>1</v>
      </c>
      <c r="F29" s="15">
        <v>1</v>
      </c>
      <c r="G29" s="16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53">
        <v>1</v>
      </c>
      <c r="U29" s="53">
        <v>0</v>
      </c>
      <c r="V29" s="53">
        <v>0</v>
      </c>
      <c r="W29" s="5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G29" s="2">
        <f t="shared" si="53"/>
        <v>-14.522372008245636</v>
      </c>
      <c r="AH29" s="3">
        <f t="shared" si="52"/>
        <v>4.9318967122305703E-7</v>
      </c>
      <c r="AI29" s="13">
        <f t="shared" si="54"/>
        <v>4.9318942798712518E-7</v>
      </c>
      <c r="AJ29" s="2">
        <f t="shared" si="55"/>
        <v>0</v>
      </c>
    </row>
    <row r="30" spans="2:36" x14ac:dyDescent="0.25">
      <c r="B30" s="45" t="s">
        <v>31</v>
      </c>
      <c r="C30" s="45" t="s">
        <v>31</v>
      </c>
      <c r="D30" s="15">
        <v>1</v>
      </c>
      <c r="E30" s="15">
        <v>1</v>
      </c>
      <c r="F30" s="15">
        <v>0</v>
      </c>
      <c r="G30" s="16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53">
        <v>0</v>
      </c>
      <c r="U30" s="53">
        <v>1</v>
      </c>
      <c r="V30" s="53">
        <v>0</v>
      </c>
      <c r="W30" s="5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G30" s="2">
        <f t="shared" si="53"/>
        <v>0</v>
      </c>
      <c r="AH30" s="3">
        <f t="shared" si="52"/>
        <v>1</v>
      </c>
      <c r="AI30" s="13">
        <f t="shared" si="54"/>
        <v>0.99999950681057193</v>
      </c>
      <c r="AJ30" s="2">
        <f t="shared" si="55"/>
        <v>-2.1418949996383807E-7</v>
      </c>
    </row>
    <row r="31" spans="2:36" x14ac:dyDescent="0.25">
      <c r="B31" s="46" t="s">
        <v>33</v>
      </c>
      <c r="C31" s="46" t="s">
        <v>33</v>
      </c>
      <c r="D31" s="15">
        <v>1</v>
      </c>
      <c r="E31" s="15">
        <v>1</v>
      </c>
      <c r="F31" s="17">
        <v>1</v>
      </c>
      <c r="G31" s="16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54">
        <v>1</v>
      </c>
      <c r="Y31" s="54">
        <v>0</v>
      </c>
      <c r="Z31" s="54">
        <v>0</v>
      </c>
      <c r="AA31" s="54">
        <v>0</v>
      </c>
      <c r="AB31" s="33">
        <v>0</v>
      </c>
      <c r="AC31" s="33">
        <v>0</v>
      </c>
      <c r="AD31" s="33">
        <v>0</v>
      </c>
      <c r="AE31" s="33">
        <v>0</v>
      </c>
      <c r="AG31" s="2">
        <f t="shared" si="53"/>
        <v>-3.1376801159569703</v>
      </c>
      <c r="AH31" s="3">
        <f t="shared" si="52"/>
        <v>4.3383325535297092E-2</v>
      </c>
      <c r="AI31" s="13">
        <f t="shared" si="54"/>
        <v>0.89950287528275163</v>
      </c>
      <c r="AJ31" s="2">
        <f t="shared" si="55"/>
        <v>-4.5997444083369053E-2</v>
      </c>
    </row>
    <row r="32" spans="2:36" x14ac:dyDescent="0.25">
      <c r="B32" s="46" t="s">
        <v>33</v>
      </c>
      <c r="C32" s="46" t="s">
        <v>17</v>
      </c>
      <c r="D32" s="15">
        <v>0</v>
      </c>
      <c r="E32" s="15">
        <v>1</v>
      </c>
      <c r="F32" s="17">
        <v>1</v>
      </c>
      <c r="G32" s="16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54">
        <v>1</v>
      </c>
      <c r="Y32" s="54">
        <v>0</v>
      </c>
      <c r="Z32" s="54">
        <v>1</v>
      </c>
      <c r="AA32" s="54">
        <v>0</v>
      </c>
      <c r="AB32" s="33">
        <v>0</v>
      </c>
      <c r="AC32" s="33">
        <v>0</v>
      </c>
      <c r="AD32" s="33">
        <v>0</v>
      </c>
      <c r="AE32" s="33">
        <v>0</v>
      </c>
      <c r="AG32" s="2">
        <f t="shared" si="53"/>
        <v>-13.511188117554203</v>
      </c>
      <c r="AH32" s="3">
        <f t="shared" si="52"/>
        <v>1.3557061200596294E-6</v>
      </c>
      <c r="AI32" s="13">
        <f t="shared" si="54"/>
        <v>2.8108992060553179E-5</v>
      </c>
      <c r="AJ32" s="2">
        <f t="shared" si="55"/>
        <v>0</v>
      </c>
    </row>
    <row r="33" spans="2:36" x14ac:dyDescent="0.25">
      <c r="B33" s="46" t="s">
        <v>33</v>
      </c>
      <c r="C33" s="46" t="s">
        <v>145</v>
      </c>
      <c r="D33" s="15">
        <v>0</v>
      </c>
      <c r="E33" s="15">
        <v>1</v>
      </c>
      <c r="F33" s="17">
        <v>1</v>
      </c>
      <c r="G33" s="16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54">
        <v>1</v>
      </c>
      <c r="Y33" s="54">
        <v>0</v>
      </c>
      <c r="Z33" s="54">
        <v>0</v>
      </c>
      <c r="AA33" s="54">
        <v>1</v>
      </c>
      <c r="AB33" s="33">
        <v>0</v>
      </c>
      <c r="AC33" s="33">
        <v>0</v>
      </c>
      <c r="AD33" s="33">
        <v>0</v>
      </c>
      <c r="AE33" s="33">
        <v>0</v>
      </c>
      <c r="AG33" s="2">
        <f t="shared" si="53"/>
        <v>-13.667869594143829</v>
      </c>
      <c r="AH33" s="3">
        <f t="shared" si="52"/>
        <v>1.1590966640082279E-6</v>
      </c>
      <c r="AI33" s="13">
        <f t="shared" si="54"/>
        <v>2.4032523305705744E-5</v>
      </c>
      <c r="AJ33" s="2">
        <f t="shared" si="55"/>
        <v>0</v>
      </c>
    </row>
    <row r="34" spans="2:36" x14ac:dyDescent="0.25">
      <c r="B34" s="46" t="s">
        <v>33</v>
      </c>
      <c r="C34" s="46" t="s">
        <v>34</v>
      </c>
      <c r="D34" s="15">
        <v>0</v>
      </c>
      <c r="E34" s="15">
        <v>1</v>
      </c>
      <c r="F34" s="15">
        <v>0</v>
      </c>
      <c r="G34" s="16">
        <v>1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54">
        <v>0</v>
      </c>
      <c r="Y34" s="54">
        <v>1</v>
      </c>
      <c r="Z34" s="54">
        <v>0</v>
      </c>
      <c r="AA34" s="54">
        <v>0</v>
      </c>
      <c r="AB34" s="33">
        <v>0</v>
      </c>
      <c r="AC34" s="33">
        <v>0</v>
      </c>
      <c r="AD34" s="33">
        <v>0</v>
      </c>
      <c r="AE34" s="33">
        <v>0</v>
      </c>
      <c r="AG34" s="2">
        <f t="shared" si="53"/>
        <v>-5.329912219099791</v>
      </c>
      <c r="AH34" s="3">
        <f t="shared" si="52"/>
        <v>4.8444952477388224E-3</v>
      </c>
      <c r="AI34" s="13">
        <f t="shared" si="54"/>
        <v>0.10044498320188205</v>
      </c>
      <c r="AJ34" s="2">
        <f t="shared" si="55"/>
        <v>0</v>
      </c>
    </row>
    <row r="35" spans="2:36" x14ac:dyDescent="0.25">
      <c r="B35" s="46" t="s">
        <v>35</v>
      </c>
      <c r="C35" s="46" t="s">
        <v>35</v>
      </c>
      <c r="D35" s="15">
        <v>0</v>
      </c>
      <c r="E35" s="15">
        <v>1</v>
      </c>
      <c r="F35" s="15">
        <v>1</v>
      </c>
      <c r="G35" s="16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54">
        <v>1</v>
      </c>
      <c r="Y35" s="54">
        <v>0</v>
      </c>
      <c r="Z35" s="54">
        <v>0</v>
      </c>
      <c r="AA35" s="54">
        <v>0</v>
      </c>
      <c r="AB35" s="33">
        <v>0</v>
      </c>
      <c r="AC35" s="33">
        <v>0</v>
      </c>
      <c r="AD35" s="33">
        <v>0</v>
      </c>
      <c r="AE35" s="33">
        <v>0</v>
      </c>
      <c r="AG35" s="2">
        <f t="shared" si="53"/>
        <v>-3.1376801159569703</v>
      </c>
      <c r="AH35" s="3">
        <f t="shared" si="52"/>
        <v>4.3383325535297092E-2</v>
      </c>
      <c r="AI35" s="13">
        <f t="shared" si="54"/>
        <v>0.10100360023767029</v>
      </c>
      <c r="AJ35" s="2">
        <f t="shared" si="55"/>
        <v>0</v>
      </c>
    </row>
    <row r="36" spans="2:36" x14ac:dyDescent="0.25">
      <c r="B36" s="46" t="s">
        <v>35</v>
      </c>
      <c r="C36" s="46" t="s">
        <v>36</v>
      </c>
      <c r="D36" s="15">
        <v>1</v>
      </c>
      <c r="E36" s="15">
        <v>1</v>
      </c>
      <c r="F36" s="15">
        <v>0</v>
      </c>
      <c r="G36" s="16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54">
        <v>0</v>
      </c>
      <c r="Y36" s="54">
        <v>1</v>
      </c>
      <c r="Z36" s="54">
        <v>0</v>
      </c>
      <c r="AA36" s="54">
        <v>0</v>
      </c>
      <c r="AB36" s="33">
        <v>0</v>
      </c>
      <c r="AC36" s="33">
        <v>0</v>
      </c>
      <c r="AD36" s="33">
        <v>0</v>
      </c>
      <c r="AE36" s="33">
        <v>0</v>
      </c>
      <c r="AG36" s="2">
        <f t="shared" si="53"/>
        <v>-0.95155724833061539</v>
      </c>
      <c r="AH36" s="3">
        <f t="shared" si="52"/>
        <v>0.3861392403258439</v>
      </c>
      <c r="AI36" s="13">
        <f t="shared" si="54"/>
        <v>0.8989963997623297</v>
      </c>
      <c r="AJ36" s="2">
        <f t="shared" si="55"/>
        <v>-4.6242047495341387E-2</v>
      </c>
    </row>
    <row r="37" spans="2:36" x14ac:dyDescent="0.25">
      <c r="B37" s="47" t="s">
        <v>37</v>
      </c>
      <c r="C37" s="47" t="s">
        <v>37</v>
      </c>
      <c r="D37" s="15">
        <v>1</v>
      </c>
      <c r="E37" s="15">
        <v>1</v>
      </c>
      <c r="F37" s="15">
        <v>1</v>
      </c>
      <c r="G37" s="16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59">
        <v>1</v>
      </c>
      <c r="AC37" s="59">
        <v>0</v>
      </c>
      <c r="AD37" s="59">
        <v>0</v>
      </c>
      <c r="AE37" s="59">
        <f>G37</f>
        <v>0</v>
      </c>
      <c r="AG37" s="2">
        <f t="shared" si="53"/>
        <v>-1.5469607880374929E-3</v>
      </c>
      <c r="AH37" s="3">
        <f t="shared" si="52"/>
        <v>0.99845423513903875</v>
      </c>
      <c r="AI37" s="13">
        <f t="shared" si="54"/>
        <v>0.33194300077224631</v>
      </c>
      <c r="AJ37" s="2">
        <f t="shared" si="55"/>
        <v>-0.47893648429387375</v>
      </c>
    </row>
    <row r="38" spans="2:36" x14ac:dyDescent="0.25">
      <c r="B38" s="47" t="s">
        <v>37</v>
      </c>
      <c r="C38" s="47" t="s">
        <v>148</v>
      </c>
      <c r="D38" s="15">
        <v>0</v>
      </c>
      <c r="E38" s="15">
        <v>1</v>
      </c>
      <c r="F38" s="15">
        <v>1</v>
      </c>
      <c r="G38" s="16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59">
        <v>1</v>
      </c>
      <c r="AC38" s="59">
        <v>0</v>
      </c>
      <c r="AD38" s="59">
        <v>1</v>
      </c>
      <c r="AE38" s="59">
        <v>0</v>
      </c>
      <c r="AG38" s="2">
        <f t="shared" si="53"/>
        <v>-1.5469607880374929E-3</v>
      </c>
      <c r="AH38" s="3">
        <f t="shared" si="52"/>
        <v>0.99845423513903875</v>
      </c>
      <c r="AI38" s="13">
        <f t="shared" si="54"/>
        <v>0.33194300077224631</v>
      </c>
      <c r="AJ38" s="2">
        <f t="shared" si="55"/>
        <v>0</v>
      </c>
    </row>
    <row r="39" spans="2:36" x14ac:dyDescent="0.25">
      <c r="B39" s="47" t="s">
        <v>37</v>
      </c>
      <c r="C39" s="47" t="s">
        <v>149</v>
      </c>
      <c r="D39" s="15">
        <v>0</v>
      </c>
      <c r="E39" s="15">
        <v>1</v>
      </c>
      <c r="F39" s="15">
        <v>1</v>
      </c>
      <c r="G39" s="16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59">
        <v>1</v>
      </c>
      <c r="AC39" s="59">
        <v>0</v>
      </c>
      <c r="AD39" s="59">
        <v>0</v>
      </c>
      <c r="AE39" s="59">
        <v>1</v>
      </c>
      <c r="AG39" s="2">
        <f t="shared" si="53"/>
        <v>-1.5469607880374929E-3</v>
      </c>
      <c r="AH39" s="3">
        <f t="shared" si="52"/>
        <v>0.99845423513903875</v>
      </c>
      <c r="AI39" s="13">
        <f t="shared" si="54"/>
        <v>0.33194300077224631</v>
      </c>
      <c r="AJ39" s="2">
        <f t="shared" si="55"/>
        <v>0</v>
      </c>
    </row>
    <row r="40" spans="2:36" x14ac:dyDescent="0.25">
      <c r="B40" s="47" t="s">
        <v>37</v>
      </c>
      <c r="C40" s="47" t="s">
        <v>38</v>
      </c>
      <c r="D40" s="15">
        <v>0</v>
      </c>
      <c r="E40" s="15">
        <v>1</v>
      </c>
      <c r="F40" s="15">
        <v>0</v>
      </c>
      <c r="G40" s="16">
        <v>1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59">
        <v>0</v>
      </c>
      <c r="AC40" s="59">
        <v>1</v>
      </c>
      <c r="AD40" s="59">
        <v>0</v>
      </c>
      <c r="AE40" s="59">
        <v>0</v>
      </c>
      <c r="AG40" s="2">
        <f t="shared" si="53"/>
        <v>-4.378354970769176</v>
      </c>
      <c r="AH40" s="3">
        <f t="shared" si="52"/>
        <v>1.2545980158998575E-2</v>
      </c>
      <c r="AI40" s="13">
        <f t="shared" si="54"/>
        <v>4.1709976832609861E-3</v>
      </c>
      <c r="AJ40" s="2">
        <f t="shared" si="55"/>
        <v>0</v>
      </c>
    </row>
    <row r="41" spans="2:36" x14ac:dyDescent="0.25">
      <c r="B41" s="47" t="s">
        <v>39</v>
      </c>
      <c r="C41" s="47" t="s">
        <v>39</v>
      </c>
      <c r="D41" s="15">
        <v>0</v>
      </c>
      <c r="E41" s="15">
        <v>1</v>
      </c>
      <c r="F41" s="15">
        <v>1</v>
      </c>
      <c r="G41" s="16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59">
        <v>1</v>
      </c>
      <c r="AC41" s="59">
        <v>0</v>
      </c>
      <c r="AD41" s="59">
        <v>0</v>
      </c>
      <c r="AE41" s="59">
        <f>G41</f>
        <v>0</v>
      </c>
      <c r="AG41" s="2">
        <f t="shared" si="53"/>
        <v>-1.5469607880374929E-3</v>
      </c>
      <c r="AH41" s="3">
        <f t="shared" si="52"/>
        <v>0.99845423513903875</v>
      </c>
      <c r="AI41" s="13">
        <f t="shared" si="54"/>
        <v>0.4996132598801159</v>
      </c>
      <c r="AJ41" s="2">
        <f t="shared" si="55"/>
        <v>0</v>
      </c>
    </row>
    <row r="42" spans="2:36" x14ac:dyDescent="0.25">
      <c r="B42" s="47" t="s">
        <v>39</v>
      </c>
      <c r="C42" s="47" t="s">
        <v>40</v>
      </c>
      <c r="D42" s="15">
        <v>1</v>
      </c>
      <c r="E42" s="15">
        <v>1</v>
      </c>
      <c r="F42" s="15">
        <v>0</v>
      </c>
      <c r="G42" s="16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59">
        <v>0</v>
      </c>
      <c r="AC42" s="59">
        <v>1</v>
      </c>
      <c r="AD42" s="59">
        <v>0</v>
      </c>
      <c r="AE42" s="59">
        <f>G42</f>
        <v>0</v>
      </c>
      <c r="AG42" s="2">
        <f t="shared" si="53"/>
        <v>0</v>
      </c>
      <c r="AH42" s="3">
        <f t="shared" si="52"/>
        <v>1</v>
      </c>
      <c r="AI42" s="13">
        <f t="shared" si="54"/>
        <v>0.50038674011988415</v>
      </c>
      <c r="AJ42" s="2">
        <f t="shared" si="55"/>
        <v>-0.30069420731008228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MI30"/>
  <sheetViews>
    <sheetView topLeftCell="S1" zoomScale="150" zoomScaleNormal="150" workbookViewId="0">
      <selection activeCell="AE4" sqref="AE4"/>
    </sheetView>
  </sheetViews>
  <sheetFormatPr defaultColWidth="11.5546875" defaultRowHeight="13.2" x14ac:dyDescent="0.25"/>
  <cols>
    <col min="4" max="5" width="11.5546875" style="1"/>
    <col min="6" max="6" width="13.88671875" style="1" customWidth="1"/>
    <col min="7" max="7" width="8.33203125" style="1" customWidth="1"/>
    <col min="8" max="8" width="7.44140625" style="1" customWidth="1"/>
    <col min="9" max="17" width="11.5546875" style="1"/>
    <col min="18" max="18" width="10.6640625" style="1" customWidth="1"/>
    <col min="19" max="23" width="11.5546875" style="1"/>
    <col min="24" max="24" width="12" style="1" customWidth="1"/>
    <col min="25" max="26" width="11.5546875" style="1"/>
    <col min="27" max="28" width="11.5546875" style="2"/>
    <col min="29" max="29" width="8" style="3" customWidth="1"/>
    <col min="30" max="30" width="11.5546875" style="4"/>
    <col min="31" max="49" width="11.5546875" style="2"/>
    <col min="50" max="1023" width="11.5546875" style="5"/>
  </cols>
  <sheetData>
    <row r="1" spans="2:31" x14ac:dyDescent="0.25"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2:31" x14ac:dyDescent="0.25">
      <c r="B2" t="s">
        <v>0</v>
      </c>
      <c r="C2" t="s">
        <v>1</v>
      </c>
      <c r="E2" s="1" t="s">
        <v>2</v>
      </c>
      <c r="F2" s="1">
        <f t="shared" ref="F2:Z2" si="0">(F3-$B$3)*SQRT(2)/($C$3)^2</f>
        <v>1.2568514186935386E-10</v>
      </c>
      <c r="G2" s="1">
        <f t="shared" si="0"/>
        <v>1.9491761907007573E-10</v>
      </c>
      <c r="H2" s="1">
        <f t="shared" si="0"/>
        <v>7.3948280431722455E-10</v>
      </c>
      <c r="I2" s="1">
        <f t="shared" si="0"/>
        <v>5.5667882469863427E-4</v>
      </c>
      <c r="J2" s="1">
        <f t="shared" si="0"/>
        <v>6.7965947890426183E-4</v>
      </c>
      <c r="K2" s="1">
        <f t="shared" si="0"/>
        <v>4.8044843590624374E-5</v>
      </c>
      <c r="L2" s="1">
        <f t="shared" si="0"/>
        <v>2.439460187950297E-4</v>
      </c>
      <c r="M2" s="1">
        <f t="shared" si="0"/>
        <v>1.8484163869871481E-8</v>
      </c>
      <c r="N2" s="1">
        <f t="shared" si="0"/>
        <v>2.7191740620592718E-4</v>
      </c>
      <c r="O2" s="1">
        <f t="shared" si="0"/>
        <v>5.4894232345295796E-8</v>
      </c>
      <c r="P2" s="1">
        <f t="shared" si="0"/>
        <v>4.3286944101489618E-5</v>
      </c>
      <c r="Q2" s="1">
        <f t="shared" si="0"/>
        <v>4.8443670690253942E-4</v>
      </c>
      <c r="R2" s="1">
        <f t="shared" si="0"/>
        <v>8.265288176142224E-5</v>
      </c>
      <c r="S2" s="1">
        <f t="shared" si="0"/>
        <v>3.133714382840248E-4</v>
      </c>
      <c r="T2" s="1">
        <f t="shared" si="0"/>
        <v>1.6402613590115616E-4</v>
      </c>
      <c r="U2" s="1">
        <f t="shared" si="0"/>
        <v>4.2640464360456058E-5</v>
      </c>
      <c r="V2" s="1">
        <f t="shared" si="0"/>
        <v>4.0502368857485145E-4</v>
      </c>
      <c r="W2" s="1">
        <f t="shared" si="0"/>
        <v>1.9737329416461222E-5</v>
      </c>
      <c r="X2" s="1">
        <f t="shared" si="0"/>
        <v>1.1753696712668837E-5</v>
      </c>
      <c r="Y2" s="1">
        <f t="shared" si="0"/>
        <v>1.6335321661732412E-3</v>
      </c>
      <c r="Z2" s="1">
        <f t="shared" si="0"/>
        <v>1.2241532383846978E-4</v>
      </c>
      <c r="AE2" s="2">
        <f>SUM(F2:H2)</f>
        <v>1.0600855652566541E-9</v>
      </c>
    </row>
    <row r="3" spans="2:31" x14ac:dyDescent="0.25">
      <c r="B3">
        <v>0</v>
      </c>
      <c r="C3">
        <v>100</v>
      </c>
      <c r="E3" s="1" t="s">
        <v>3</v>
      </c>
      <c r="F3" s="1">
        <f t="shared" ref="F3:Z3" si="1">(F4-$B$3)^2/2/$C$3</f>
        <v>8.8872816110213379E-7</v>
      </c>
      <c r="G3" s="1">
        <f t="shared" si="1"/>
        <v>1.3782757021718687E-6</v>
      </c>
      <c r="H3" s="1">
        <f t="shared" si="1"/>
        <v>5.2289330550355425E-6</v>
      </c>
      <c r="I3" s="1">
        <f t="shared" si="1"/>
        <v>3.9363137188736159</v>
      </c>
      <c r="J3" s="1">
        <f t="shared" si="1"/>
        <v>4.805918264309188</v>
      </c>
      <c r="K3" s="1">
        <f t="shared" si="1"/>
        <v>0.33972834703977528</v>
      </c>
      <c r="L3" s="1">
        <f t="shared" si="1"/>
        <v>1.7249588413342647</v>
      </c>
      <c r="M3" s="1">
        <f t="shared" si="1"/>
        <v>1.3070277616949501E-4</v>
      </c>
      <c r="N3" s="1">
        <f t="shared" si="1"/>
        <v>1.9227464185086809</v>
      </c>
      <c r="O3" s="1">
        <f t="shared" si="1"/>
        <v>3.8816083939388569E-4</v>
      </c>
      <c r="P3" s="1">
        <f t="shared" si="1"/>
        <v>0.3060849171100633</v>
      </c>
      <c r="Q3" s="1">
        <f t="shared" si="1"/>
        <v>3.4254848050646558</v>
      </c>
      <c r="R3" s="1">
        <f t="shared" si="1"/>
        <v>0.58444413178111576</v>
      </c>
      <c r="S3" s="1">
        <f t="shared" si="1"/>
        <v>2.2158706904081562</v>
      </c>
      <c r="T3" s="1">
        <f t="shared" si="1"/>
        <v>1.1598399298753372</v>
      </c>
      <c r="U3" s="1">
        <f t="shared" si="1"/>
        <v>0.3015136150222178</v>
      </c>
      <c r="V3" s="1">
        <f t="shared" si="1"/>
        <v>2.863949967324658</v>
      </c>
      <c r="W3" s="1">
        <f t="shared" si="1"/>
        <v>0.13956399472892453</v>
      </c>
      <c r="X3" s="1">
        <f t="shared" si="1"/>
        <v>8.3111186495381656E-2</v>
      </c>
      <c r="Y3" s="1">
        <f t="shared" si="1"/>
        <v>11.55081671987449</v>
      </c>
      <c r="Z3" s="1">
        <f t="shared" si="1"/>
        <v>0.86560705607329202</v>
      </c>
      <c r="AE3" s="2">
        <f>SUM(F3:H3)</f>
        <v>7.4959369183095448E-6</v>
      </c>
    </row>
    <row r="4" spans="2:31" x14ac:dyDescent="0.25">
      <c r="E4" s="1" t="s">
        <v>4</v>
      </c>
      <c r="F4" s="1">
        <v>1.333212782043537E-2</v>
      </c>
      <c r="G4" s="1">
        <v>1.6602865428424509E-2</v>
      </c>
      <c r="H4" s="1">
        <v>3.2338624135963306E-2</v>
      </c>
      <c r="I4" s="1">
        <v>28.058202789464673</v>
      </c>
      <c r="J4" s="1">
        <v>31.002962001425569</v>
      </c>
      <c r="K4" s="1">
        <v>8.242916316932682</v>
      </c>
      <c r="L4" s="1">
        <v>18.573954028877452</v>
      </c>
      <c r="M4" s="1">
        <v>0.16168041079209008</v>
      </c>
      <c r="N4" s="1">
        <v>19.609928192161647</v>
      </c>
      <c r="O4" s="1">
        <v>0.27862549753885973</v>
      </c>
      <c r="P4" s="1">
        <v>7.824128285119861</v>
      </c>
      <c r="Q4" s="1">
        <v>26.174356935996176</v>
      </c>
      <c r="R4" s="1">
        <v>10.811513601537166</v>
      </c>
      <c r="S4" s="1">
        <v>21.051701548369699</v>
      </c>
      <c r="T4" s="1">
        <v>15.230495263617248</v>
      </c>
      <c r="U4" s="1">
        <v>7.7654827927466021</v>
      </c>
      <c r="V4" s="1">
        <v>23.933031430742986</v>
      </c>
      <c r="W4" s="1">
        <v>5.2832564717023631</v>
      </c>
      <c r="X4" s="1">
        <v>4.0770378093753719</v>
      </c>
      <c r="Y4" s="1">
        <v>48.064158621314675</v>
      </c>
      <c r="Z4" s="1">
        <v>13.157560990345376</v>
      </c>
      <c r="AD4" s="6" t="s">
        <v>5</v>
      </c>
      <c r="AE4" s="2">
        <f>SUM(AE7:AE26)-AE2</f>
        <v>-1.469519335431046E-9</v>
      </c>
    </row>
    <row r="6" spans="2:31" x14ac:dyDescent="0.25"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108</v>
      </c>
      <c r="J6" s="9" t="s">
        <v>109</v>
      </c>
      <c r="K6" s="9" t="s">
        <v>110</v>
      </c>
      <c r="L6" s="9" t="s">
        <v>111</v>
      </c>
      <c r="M6" s="9" t="s">
        <v>112</v>
      </c>
      <c r="N6" s="9" t="s">
        <v>113</v>
      </c>
      <c r="O6" s="9" t="s">
        <v>114</v>
      </c>
      <c r="P6" s="9" t="s">
        <v>115</v>
      </c>
      <c r="Q6" s="9" t="s">
        <v>116</v>
      </c>
      <c r="R6" s="9" t="s">
        <v>117</v>
      </c>
      <c r="S6" s="9" t="s">
        <v>118</v>
      </c>
      <c r="T6" s="9" t="s">
        <v>119</v>
      </c>
      <c r="U6" s="9" t="s">
        <v>120</v>
      </c>
      <c r="V6" s="9" t="s">
        <v>121</v>
      </c>
      <c r="W6" s="9" t="s">
        <v>122</v>
      </c>
      <c r="X6" s="9" t="s">
        <v>123</v>
      </c>
      <c r="Y6" s="9" t="s">
        <v>124</v>
      </c>
      <c r="Z6" s="9" t="s">
        <v>125</v>
      </c>
      <c r="AB6" s="2" t="s">
        <v>13</v>
      </c>
      <c r="AC6" s="3" t="s">
        <v>14</v>
      </c>
      <c r="AD6" s="4" t="s">
        <v>15</v>
      </c>
      <c r="AE6" s="2" t="s">
        <v>16</v>
      </c>
    </row>
    <row r="7" spans="2:31" x14ac:dyDescent="0.25">
      <c r="B7" s="10" t="s">
        <v>17</v>
      </c>
      <c r="C7" s="10" t="s">
        <v>17</v>
      </c>
      <c r="D7" s="11">
        <v>1</v>
      </c>
      <c r="E7" s="11">
        <v>1</v>
      </c>
      <c r="F7" s="11">
        <v>0</v>
      </c>
      <c r="G7" s="11">
        <v>1</v>
      </c>
      <c r="H7" s="12">
        <v>0</v>
      </c>
      <c r="I7" s="11">
        <f>F7</f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11">
        <f>G7</f>
        <v>1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11">
        <f>H7</f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B7" s="2">
        <f t="shared" ref="AB7:AB30" si="2">-SUMPRODUCT(F7:Z7,F$4:Z$4)</f>
        <v>-0.29522836296728422</v>
      </c>
      <c r="AC7" s="3">
        <f t="shared" ref="AC7:AC30" si="3">EXP(AB7)</f>
        <v>0.74436158343541003</v>
      </c>
      <c r="AD7" s="13">
        <f t="shared" ref="AD7:AD30" si="4">AC7/SUMIF(B:B,B7,AC:AC)</f>
        <v>0.99999999999999967</v>
      </c>
      <c r="AE7" s="2">
        <f t="shared" ref="AE7:AE30" si="5">LOG(AD7)*D7</f>
        <v>-1.446491199829931E-16</v>
      </c>
    </row>
    <row r="8" spans="2:31" x14ac:dyDescent="0.25">
      <c r="B8" s="14" t="s">
        <v>17</v>
      </c>
      <c r="C8" s="14" t="s">
        <v>18</v>
      </c>
      <c r="D8" s="15">
        <v>0</v>
      </c>
      <c r="E8" s="15">
        <v>1</v>
      </c>
      <c r="F8" s="15">
        <v>1</v>
      </c>
      <c r="G8" s="15">
        <v>0</v>
      </c>
      <c r="H8" s="16">
        <v>1</v>
      </c>
      <c r="I8" s="16">
        <f>F8</f>
        <v>1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16">
        <f>G8</f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16">
        <f>H8</f>
        <v>1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B8" s="2">
        <f t="shared" si="2"/>
        <v>-35.869356334167669</v>
      </c>
      <c r="AC8" s="3">
        <f t="shared" si="3"/>
        <v>2.6432392502057813E-16</v>
      </c>
      <c r="AD8" s="13">
        <f t="shared" si="4"/>
        <v>3.5510151370340575E-16</v>
      </c>
      <c r="AE8" s="2">
        <f t="shared" si="5"/>
        <v>0</v>
      </c>
    </row>
    <row r="9" spans="2:31" x14ac:dyDescent="0.25">
      <c r="B9" s="14" t="s">
        <v>19</v>
      </c>
      <c r="C9" s="14" t="s">
        <v>19</v>
      </c>
      <c r="D9" s="15">
        <v>1</v>
      </c>
      <c r="E9" s="15">
        <v>1</v>
      </c>
      <c r="F9" s="15">
        <v>0</v>
      </c>
      <c r="G9" s="15">
        <v>1</v>
      </c>
      <c r="H9" s="16">
        <v>0</v>
      </c>
      <c r="I9" s="16">
        <f>F9</f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16">
        <f>G9</f>
        <v>1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16">
        <f>H9</f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B9" s="2">
        <f t="shared" si="2"/>
        <v>-0.29522836296728422</v>
      </c>
      <c r="AC9" s="3">
        <f t="shared" si="3"/>
        <v>0.74436158343541003</v>
      </c>
      <c r="AD9" s="13">
        <f t="shared" si="4"/>
        <v>0.99999999999913525</v>
      </c>
      <c r="AE9" s="2">
        <f t="shared" si="5"/>
        <v>-3.7555733184934006E-13</v>
      </c>
    </row>
    <row r="10" spans="2:31" x14ac:dyDescent="0.25">
      <c r="B10" s="14" t="s">
        <v>19</v>
      </c>
      <c r="C10" s="14" t="s">
        <v>20</v>
      </c>
      <c r="D10" s="15">
        <v>0</v>
      </c>
      <c r="E10" s="15">
        <v>1</v>
      </c>
      <c r="F10" s="15">
        <v>1</v>
      </c>
      <c r="G10" s="15">
        <v>0</v>
      </c>
      <c r="H10" s="16">
        <v>0</v>
      </c>
      <c r="I10" s="16">
        <f>F10</f>
        <v>1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16">
        <f>G10</f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16">
        <f>H10</f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B10" s="2">
        <f t="shared" si="2"/>
        <v>-28.07153491728511</v>
      </c>
      <c r="AC10" s="3">
        <f t="shared" si="3"/>
        <v>6.4370559929193418E-13</v>
      </c>
      <c r="AD10" s="13">
        <f t="shared" si="4"/>
        <v>8.6477541777548406E-13</v>
      </c>
      <c r="AE10" s="2">
        <f t="shared" si="5"/>
        <v>0</v>
      </c>
    </row>
    <row r="11" spans="2:31" x14ac:dyDescent="0.25">
      <c r="B11" s="14" t="s">
        <v>21</v>
      </c>
      <c r="C11" s="14" t="s">
        <v>21</v>
      </c>
      <c r="D11" s="15">
        <v>1</v>
      </c>
      <c r="E11" s="15">
        <v>1</v>
      </c>
      <c r="F11" s="15">
        <v>0</v>
      </c>
      <c r="G11" s="15">
        <v>1</v>
      </c>
      <c r="H11" s="16">
        <v>0</v>
      </c>
      <c r="I11" s="23">
        <v>0</v>
      </c>
      <c r="J11" s="16">
        <f>F11</f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16">
        <f>G11</f>
        <v>1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16">
        <f>H11</f>
        <v>0</v>
      </c>
      <c r="W11" s="23">
        <v>0</v>
      </c>
      <c r="X11" s="23">
        <v>0</v>
      </c>
      <c r="Y11" s="23">
        <v>0</v>
      </c>
      <c r="Z11" s="23">
        <v>0</v>
      </c>
      <c r="AB11" s="2">
        <f t="shared" si="2"/>
        <v>-7.8407311505482857</v>
      </c>
      <c r="AC11" s="3">
        <f t="shared" si="3"/>
        <v>3.9338131451853914E-4</v>
      </c>
      <c r="AD11" s="13">
        <f t="shared" si="4"/>
        <v>1</v>
      </c>
      <c r="AE11" s="2">
        <f t="shared" si="5"/>
        <v>0</v>
      </c>
    </row>
    <row r="12" spans="2:31" x14ac:dyDescent="0.25">
      <c r="B12" s="14" t="s">
        <v>21</v>
      </c>
      <c r="C12" s="14" t="s">
        <v>22</v>
      </c>
      <c r="D12" s="15">
        <v>0</v>
      </c>
      <c r="E12" s="15">
        <v>1</v>
      </c>
      <c r="F12" s="15">
        <v>1</v>
      </c>
      <c r="G12" s="15">
        <v>0</v>
      </c>
      <c r="H12" s="16">
        <v>1</v>
      </c>
      <c r="I12" s="23">
        <v>0</v>
      </c>
      <c r="J12" s="16">
        <f>F12</f>
        <v>1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16">
        <f>G12</f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16">
        <f>H12</f>
        <v>1</v>
      </c>
      <c r="W12" s="23">
        <v>0</v>
      </c>
      <c r="X12" s="23">
        <v>0</v>
      </c>
      <c r="Y12" s="23">
        <v>0</v>
      </c>
      <c r="Z12" s="23">
        <v>0</v>
      </c>
      <c r="AB12" s="2">
        <f t="shared" si="2"/>
        <v>-54.981664184124952</v>
      </c>
      <c r="AC12" s="3">
        <f t="shared" si="3"/>
        <v>1.3236301131251542E-24</v>
      </c>
      <c r="AD12" s="13">
        <f t="shared" si="4"/>
        <v>3.3647508518424419E-21</v>
      </c>
      <c r="AE12" s="2">
        <f t="shared" si="5"/>
        <v>0</v>
      </c>
    </row>
    <row r="13" spans="2:31" x14ac:dyDescent="0.25">
      <c r="B13" s="14" t="s">
        <v>23</v>
      </c>
      <c r="C13" s="14" t="s">
        <v>23</v>
      </c>
      <c r="D13" s="15">
        <v>1</v>
      </c>
      <c r="E13" s="15">
        <v>1</v>
      </c>
      <c r="F13" s="15">
        <v>0</v>
      </c>
      <c r="G13" s="15">
        <v>1</v>
      </c>
      <c r="H13" s="16">
        <v>0</v>
      </c>
      <c r="I13" s="23">
        <v>0</v>
      </c>
      <c r="J13" s="16">
        <f>F13</f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16">
        <f>G13</f>
        <v>1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16">
        <f>H13</f>
        <v>0</v>
      </c>
      <c r="W13" s="23">
        <v>0</v>
      </c>
      <c r="X13" s="23">
        <v>0</v>
      </c>
      <c r="Y13" s="23">
        <v>0</v>
      </c>
      <c r="Z13" s="23">
        <v>0</v>
      </c>
      <c r="AB13" s="2">
        <f t="shared" si="2"/>
        <v>-7.8407311505482857</v>
      </c>
      <c r="AC13" s="3">
        <f t="shared" si="3"/>
        <v>3.9338131451853914E-4</v>
      </c>
      <c r="AD13" s="13">
        <f t="shared" si="4"/>
        <v>0.99999999991390431</v>
      </c>
      <c r="AE13" s="2">
        <f t="shared" si="5"/>
        <v>-3.7390881406120081E-11</v>
      </c>
    </row>
    <row r="14" spans="2:31" x14ac:dyDescent="0.25">
      <c r="B14" s="14" t="s">
        <v>23</v>
      </c>
      <c r="C14" s="14" t="s">
        <v>24</v>
      </c>
      <c r="D14" s="15">
        <v>0</v>
      </c>
      <c r="E14" s="15">
        <v>1</v>
      </c>
      <c r="F14" s="15">
        <v>1</v>
      </c>
      <c r="G14" s="15">
        <v>0</v>
      </c>
      <c r="H14" s="16">
        <v>0</v>
      </c>
      <c r="I14" s="23">
        <v>0</v>
      </c>
      <c r="J14" s="16">
        <f>F14</f>
        <v>1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16">
        <f>G14</f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16">
        <f>H14</f>
        <v>0</v>
      </c>
      <c r="W14" s="23">
        <v>0</v>
      </c>
      <c r="X14" s="23">
        <v>0</v>
      </c>
      <c r="Y14" s="23">
        <v>0</v>
      </c>
      <c r="Z14" s="23">
        <v>0</v>
      </c>
      <c r="AB14" s="2">
        <f t="shared" si="2"/>
        <v>-31.016294129246006</v>
      </c>
      <c r="AC14" s="3">
        <f t="shared" si="3"/>
        <v>3.3868394560591561E-14</v>
      </c>
      <c r="AD14" s="13">
        <f t="shared" si="4"/>
        <v>8.6095585396899943E-11</v>
      </c>
      <c r="AE14" s="2">
        <f t="shared" si="5"/>
        <v>0</v>
      </c>
    </row>
    <row r="15" spans="2:31" x14ac:dyDescent="0.25">
      <c r="B15" s="14" t="s">
        <v>25</v>
      </c>
      <c r="C15" s="14" t="s">
        <v>26</v>
      </c>
      <c r="D15" s="15">
        <v>0</v>
      </c>
      <c r="E15" s="15">
        <v>1</v>
      </c>
      <c r="F15" s="15">
        <v>1</v>
      </c>
      <c r="G15" s="15">
        <v>1</v>
      </c>
      <c r="H15" s="16">
        <v>0</v>
      </c>
      <c r="I15" s="23">
        <v>0</v>
      </c>
      <c r="J15" s="23">
        <v>0</v>
      </c>
      <c r="K15" s="16">
        <f>F15</f>
        <v>1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16">
        <f>F15</f>
        <v>1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6">
        <f>H15</f>
        <v>0</v>
      </c>
      <c r="X15" s="23">
        <v>0</v>
      </c>
      <c r="Y15" s="23">
        <v>0</v>
      </c>
      <c r="Z15" s="23">
        <v>0</v>
      </c>
      <c r="AB15" s="2">
        <f t="shared" si="2"/>
        <v>-34.447208246177716</v>
      </c>
      <c r="AC15" s="3">
        <f t="shared" si="3"/>
        <v>1.0958914577621202E-15</v>
      </c>
      <c r="AD15" s="13">
        <f t="shared" si="4"/>
        <v>2.2299809851184964E-13</v>
      </c>
      <c r="AE15" s="2">
        <f t="shared" si="5"/>
        <v>0</v>
      </c>
    </row>
    <row r="16" spans="2:31" x14ac:dyDescent="0.25">
      <c r="B16" s="14" t="s">
        <v>25</v>
      </c>
      <c r="C16" s="14" t="s">
        <v>25</v>
      </c>
      <c r="D16" s="15">
        <v>1</v>
      </c>
      <c r="E16" s="15">
        <v>1</v>
      </c>
      <c r="F16" s="15">
        <v>0</v>
      </c>
      <c r="G16" s="15">
        <v>0</v>
      </c>
      <c r="H16" s="16">
        <v>1</v>
      </c>
      <c r="I16" s="23">
        <v>0</v>
      </c>
      <c r="J16" s="23">
        <v>0</v>
      </c>
      <c r="K16" s="16">
        <f>F16</f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16">
        <f>F16</f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16">
        <f>H16</f>
        <v>1</v>
      </c>
      <c r="X16" s="23">
        <v>0</v>
      </c>
      <c r="Y16" s="23">
        <v>0</v>
      </c>
      <c r="Z16" s="23">
        <v>0</v>
      </c>
      <c r="AB16" s="2">
        <f t="shared" si="2"/>
        <v>-5.3155950958383267</v>
      </c>
      <c r="AC16" s="3">
        <f t="shared" si="3"/>
        <v>4.9143533737514922E-3</v>
      </c>
      <c r="AD16" s="13">
        <f t="shared" si="4"/>
        <v>0.99999999999977707</v>
      </c>
      <c r="AE16" s="2">
        <f t="shared" si="5"/>
        <v>-9.6818477641960819E-14</v>
      </c>
    </row>
    <row r="17" spans="2:31" x14ac:dyDescent="0.25">
      <c r="B17" s="14" t="s">
        <v>27</v>
      </c>
      <c r="C17" s="14" t="s">
        <v>28</v>
      </c>
      <c r="D17" s="15">
        <v>0</v>
      </c>
      <c r="E17" s="15">
        <v>1</v>
      </c>
      <c r="F17" s="15">
        <v>1</v>
      </c>
      <c r="G17" s="15">
        <v>1</v>
      </c>
      <c r="H17" s="16">
        <v>0</v>
      </c>
      <c r="I17" s="23">
        <v>0</v>
      </c>
      <c r="J17" s="23">
        <v>0</v>
      </c>
      <c r="K17" s="16">
        <f>F17</f>
        <v>1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16">
        <f>F17</f>
        <v>1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6">
        <f>H17</f>
        <v>0</v>
      </c>
      <c r="X17" s="23">
        <v>0</v>
      </c>
      <c r="Y17" s="23">
        <v>0</v>
      </c>
      <c r="Z17" s="23">
        <v>0</v>
      </c>
      <c r="AB17" s="2">
        <f t="shared" si="2"/>
        <v>-34.447208246177716</v>
      </c>
      <c r="AC17" s="3">
        <f t="shared" si="3"/>
        <v>1.0958914577621202E-15</v>
      </c>
      <c r="AD17" s="13">
        <f t="shared" si="4"/>
        <v>1.095891457762119E-15</v>
      </c>
      <c r="AE17" s="2">
        <f t="shared" si="5"/>
        <v>0</v>
      </c>
    </row>
    <row r="18" spans="2:31" x14ac:dyDescent="0.25">
      <c r="B18" s="14" t="s">
        <v>27</v>
      </c>
      <c r="C18" s="14" t="s">
        <v>27</v>
      </c>
      <c r="D18" s="15">
        <v>1</v>
      </c>
      <c r="E18" s="15">
        <v>1</v>
      </c>
      <c r="F18" s="15">
        <v>0</v>
      </c>
      <c r="G18" s="15">
        <v>0</v>
      </c>
      <c r="H18" s="16">
        <v>0</v>
      </c>
      <c r="I18" s="23">
        <v>0</v>
      </c>
      <c r="J18" s="23">
        <v>0</v>
      </c>
      <c r="K18" s="16">
        <f>F18</f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16">
        <f>F18</f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16">
        <f>H18</f>
        <v>0</v>
      </c>
      <c r="X18" s="23">
        <v>0</v>
      </c>
      <c r="Y18" s="23">
        <v>0</v>
      </c>
      <c r="Z18" s="23">
        <v>0</v>
      </c>
      <c r="AB18" s="2">
        <f t="shared" si="2"/>
        <v>0</v>
      </c>
      <c r="AC18" s="3">
        <f t="shared" si="3"/>
        <v>1</v>
      </c>
      <c r="AD18" s="13">
        <f t="shared" si="4"/>
        <v>0.99999999999999889</v>
      </c>
      <c r="AE18" s="2">
        <f t="shared" si="5"/>
        <v>-4.8216373327664386E-16</v>
      </c>
    </row>
    <row r="19" spans="2:31" x14ac:dyDescent="0.25">
      <c r="B19" s="14" t="s">
        <v>29</v>
      </c>
      <c r="C19" s="14" t="s">
        <v>30</v>
      </c>
      <c r="D19" s="15">
        <v>0</v>
      </c>
      <c r="E19" s="15">
        <v>1</v>
      </c>
      <c r="F19" s="15">
        <v>1</v>
      </c>
      <c r="G19" s="15">
        <v>1</v>
      </c>
      <c r="H19" s="16">
        <v>0</v>
      </c>
      <c r="I19" s="23">
        <v>0</v>
      </c>
      <c r="J19" s="23">
        <v>0</v>
      </c>
      <c r="K19" s="23">
        <v>0</v>
      </c>
      <c r="L19" s="16">
        <f>F19</f>
        <v>1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16">
        <f>G19</f>
        <v>1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16">
        <f>H19</f>
        <v>0</v>
      </c>
      <c r="Y19" s="23">
        <v>0</v>
      </c>
      <c r="Z19" s="23">
        <v>0</v>
      </c>
      <c r="AB19" s="2">
        <f t="shared" si="2"/>
        <v>-29.415402623663475</v>
      </c>
      <c r="AC19" s="3">
        <f t="shared" si="3"/>
        <v>1.6790087428506407E-13</v>
      </c>
      <c r="AD19" s="13">
        <f t="shared" si="4"/>
        <v>1.022662819335672E-11</v>
      </c>
      <c r="AE19" s="2">
        <f t="shared" si="5"/>
        <v>0</v>
      </c>
    </row>
    <row r="20" spans="2:31" x14ac:dyDescent="0.25">
      <c r="B20" s="14" t="s">
        <v>29</v>
      </c>
      <c r="C20" s="14" t="s">
        <v>29</v>
      </c>
      <c r="D20" s="15">
        <v>1</v>
      </c>
      <c r="E20" s="15">
        <v>1</v>
      </c>
      <c r="F20" s="15">
        <v>0</v>
      </c>
      <c r="G20" s="15">
        <v>0</v>
      </c>
      <c r="H20" s="16">
        <v>1</v>
      </c>
      <c r="I20" s="23">
        <v>0</v>
      </c>
      <c r="J20" s="23">
        <v>0</v>
      </c>
      <c r="K20" s="23">
        <v>0</v>
      </c>
      <c r="L20" s="16">
        <f>F20</f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16">
        <f>G20</f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16">
        <f>H20</f>
        <v>1</v>
      </c>
      <c r="Y20" s="23">
        <v>0</v>
      </c>
      <c r="Z20" s="23">
        <v>0</v>
      </c>
      <c r="AB20" s="2">
        <f t="shared" si="2"/>
        <v>-4.1093764335113354</v>
      </c>
      <c r="AC20" s="3">
        <f t="shared" si="3"/>
        <v>1.6418009055263829E-2</v>
      </c>
      <c r="AD20" s="13">
        <f t="shared" si="4"/>
        <v>0.9999999999897734</v>
      </c>
      <c r="AE20" s="2">
        <f t="shared" si="5"/>
        <v>-4.4413547963538571E-12</v>
      </c>
    </row>
    <row r="21" spans="2:31" x14ac:dyDescent="0.25">
      <c r="B21" s="14" t="s">
        <v>31</v>
      </c>
      <c r="C21" s="14" t="s">
        <v>32</v>
      </c>
      <c r="D21" s="15">
        <v>0</v>
      </c>
      <c r="E21" s="15">
        <v>1</v>
      </c>
      <c r="F21" s="15">
        <v>1</v>
      </c>
      <c r="G21" s="15">
        <v>1</v>
      </c>
      <c r="H21" s="16">
        <v>0</v>
      </c>
      <c r="I21" s="23">
        <v>0</v>
      </c>
      <c r="J21" s="23">
        <v>0</v>
      </c>
      <c r="K21" s="23">
        <v>0</v>
      </c>
      <c r="L21" s="16">
        <f>F21</f>
        <v>1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16">
        <f>G21</f>
        <v>1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16">
        <f>H21</f>
        <v>0</v>
      </c>
      <c r="Y21" s="23">
        <v>0</v>
      </c>
      <c r="Z21" s="23">
        <v>0</v>
      </c>
      <c r="AB21" s="2">
        <f t="shared" si="2"/>
        <v>-29.415402623663475</v>
      </c>
      <c r="AC21" s="3">
        <f t="shared" si="3"/>
        <v>1.6790087428506407E-13</v>
      </c>
      <c r="AD21" s="13">
        <f t="shared" si="4"/>
        <v>1.6790087428503587E-13</v>
      </c>
      <c r="AE21" s="2">
        <f t="shared" si="5"/>
        <v>0</v>
      </c>
    </row>
    <row r="22" spans="2:31" x14ac:dyDescent="0.25">
      <c r="B22" s="14" t="s">
        <v>31</v>
      </c>
      <c r="C22" s="14" t="s">
        <v>31</v>
      </c>
      <c r="D22" s="15">
        <v>1</v>
      </c>
      <c r="E22" s="15">
        <v>1</v>
      </c>
      <c r="F22" s="15">
        <v>0</v>
      </c>
      <c r="G22" s="15">
        <v>0</v>
      </c>
      <c r="H22" s="16">
        <v>0</v>
      </c>
      <c r="I22" s="23">
        <v>0</v>
      </c>
      <c r="J22" s="23">
        <v>0</v>
      </c>
      <c r="K22" s="23">
        <v>0</v>
      </c>
      <c r="L22" s="16">
        <f>F22</f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16">
        <f>G22</f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16">
        <f>H22</f>
        <v>0</v>
      </c>
      <c r="Y22" s="23">
        <v>0</v>
      </c>
      <c r="Z22" s="23">
        <v>0</v>
      </c>
      <c r="AB22" s="2">
        <f t="shared" si="2"/>
        <v>0</v>
      </c>
      <c r="AC22" s="3">
        <f t="shared" si="3"/>
        <v>1</v>
      </c>
      <c r="AD22" s="13">
        <f t="shared" si="4"/>
        <v>0.99999999999983213</v>
      </c>
      <c r="AE22" s="2">
        <f t="shared" si="5"/>
        <v>-7.2903156471434621E-14</v>
      </c>
    </row>
    <row r="23" spans="2:31" x14ac:dyDescent="0.25">
      <c r="B23" s="14" t="s">
        <v>33</v>
      </c>
      <c r="C23" s="14" t="s">
        <v>33</v>
      </c>
      <c r="D23" s="15">
        <v>1</v>
      </c>
      <c r="E23" s="15">
        <v>1</v>
      </c>
      <c r="F23" s="15">
        <v>0</v>
      </c>
      <c r="G23" s="17">
        <v>1</v>
      </c>
      <c r="H23" s="16">
        <v>0</v>
      </c>
      <c r="I23" s="23">
        <v>0</v>
      </c>
      <c r="J23" s="23">
        <v>0</v>
      </c>
      <c r="K23" s="23">
        <v>0</v>
      </c>
      <c r="L23" s="23">
        <v>0</v>
      </c>
      <c r="M23" s="16">
        <f>F23</f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16">
        <f>G23</f>
        <v>1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16">
        <f>H23</f>
        <v>0</v>
      </c>
      <c r="Z23" s="23">
        <v>0</v>
      </c>
      <c r="AB23" s="2">
        <f t="shared" si="2"/>
        <v>-21.068304413798124</v>
      </c>
      <c r="AC23" s="3">
        <f t="shared" si="3"/>
        <v>7.0819303308321478E-10</v>
      </c>
      <c r="AD23" s="13">
        <f t="shared" si="4"/>
        <v>0.99999999999846612</v>
      </c>
      <c r="AE23" s="2">
        <f t="shared" si="5"/>
        <v>-6.6615741389552163E-13</v>
      </c>
    </row>
    <row r="24" spans="2:31" x14ac:dyDescent="0.25">
      <c r="B24" s="14" t="s">
        <v>33</v>
      </c>
      <c r="C24" s="14" t="s">
        <v>34</v>
      </c>
      <c r="D24" s="15">
        <v>0</v>
      </c>
      <c r="E24" s="15">
        <v>1</v>
      </c>
      <c r="F24" s="15">
        <v>1</v>
      </c>
      <c r="G24" s="15">
        <v>0</v>
      </c>
      <c r="H24" s="16">
        <v>1</v>
      </c>
      <c r="I24" s="23">
        <v>0</v>
      </c>
      <c r="J24" s="23">
        <v>0</v>
      </c>
      <c r="K24" s="23">
        <v>0</v>
      </c>
      <c r="L24" s="23">
        <v>0</v>
      </c>
      <c r="M24" s="16">
        <f>F24</f>
        <v>1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16">
        <f>G24</f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16">
        <f>H24</f>
        <v>1</v>
      </c>
      <c r="Z24" s="23">
        <v>0</v>
      </c>
      <c r="AB24" s="2">
        <f t="shared" si="2"/>
        <v>-48.271509784063163</v>
      </c>
      <c r="AC24" s="3">
        <f t="shared" si="3"/>
        <v>1.0862997201194343E-21</v>
      </c>
      <c r="AD24" s="13">
        <f t="shared" si="4"/>
        <v>1.5339034265677739E-12</v>
      </c>
      <c r="AE24" s="2">
        <f t="shared" si="5"/>
        <v>0</v>
      </c>
    </row>
    <row r="25" spans="2:31" x14ac:dyDescent="0.25">
      <c r="B25" s="14" t="s">
        <v>35</v>
      </c>
      <c r="C25" s="14" t="s">
        <v>35</v>
      </c>
      <c r="D25" s="15">
        <v>0</v>
      </c>
      <c r="E25" s="15">
        <v>1</v>
      </c>
      <c r="F25" s="15">
        <v>0</v>
      </c>
      <c r="G25" s="15">
        <v>1</v>
      </c>
      <c r="H25" s="16">
        <v>0</v>
      </c>
      <c r="I25" s="23">
        <v>0</v>
      </c>
      <c r="J25" s="23">
        <v>0</v>
      </c>
      <c r="K25" s="23">
        <v>0</v>
      </c>
      <c r="L25" s="23">
        <v>0</v>
      </c>
      <c r="M25" s="16">
        <f>F25</f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16">
        <f>G25</f>
        <v>1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16">
        <f>H25</f>
        <v>0</v>
      </c>
      <c r="Z25" s="23">
        <v>0</v>
      </c>
      <c r="AB25" s="2">
        <f t="shared" si="2"/>
        <v>-21.068304413798124</v>
      </c>
      <c r="AC25" s="3">
        <f t="shared" si="3"/>
        <v>7.0819303308321478E-10</v>
      </c>
      <c r="AD25" s="13">
        <f t="shared" si="4"/>
        <v>8.4364284862435746E-10</v>
      </c>
      <c r="AE25" s="2">
        <f t="shared" si="5"/>
        <v>0</v>
      </c>
    </row>
    <row r="26" spans="2:31" x14ac:dyDescent="0.25">
      <c r="B26" s="14" t="s">
        <v>35</v>
      </c>
      <c r="C26" s="14" t="s">
        <v>36</v>
      </c>
      <c r="D26" s="15">
        <v>1</v>
      </c>
      <c r="E26" s="15">
        <v>1</v>
      </c>
      <c r="F26" s="15">
        <v>1</v>
      </c>
      <c r="G26" s="15">
        <v>0</v>
      </c>
      <c r="H26" s="16">
        <v>0</v>
      </c>
      <c r="I26" s="23">
        <v>0</v>
      </c>
      <c r="J26" s="23">
        <v>0</v>
      </c>
      <c r="K26" s="23">
        <v>0</v>
      </c>
      <c r="L26" s="23">
        <v>0</v>
      </c>
      <c r="M26" s="16">
        <f>F26</f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16">
        <f>G26</f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16">
        <f>H26</f>
        <v>0</v>
      </c>
      <c r="Z26" s="23">
        <v>0</v>
      </c>
      <c r="AB26" s="2">
        <f t="shared" si="2"/>
        <v>-0.17501253861252544</v>
      </c>
      <c r="AC26" s="3">
        <f t="shared" si="3"/>
        <v>0.83944649520888026</v>
      </c>
      <c r="AD26" s="13">
        <f t="shared" si="4"/>
        <v>0.99999999915635707</v>
      </c>
      <c r="AE26" s="2">
        <f t="shared" si="5"/>
        <v>-3.6638947077920649E-10</v>
      </c>
    </row>
    <row r="27" spans="2:31" x14ac:dyDescent="0.25">
      <c r="B27" s="18" t="s">
        <v>37</v>
      </c>
      <c r="C27" s="18" t="s">
        <v>37</v>
      </c>
      <c r="D27" s="15">
        <v>1</v>
      </c>
      <c r="E27" s="15">
        <v>1</v>
      </c>
      <c r="F27" s="15">
        <v>0</v>
      </c>
      <c r="G27" s="15">
        <v>1</v>
      </c>
      <c r="H27" s="16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16">
        <f>F27</f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16">
        <f>G27</f>
        <v>1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16">
        <f>H27</f>
        <v>0</v>
      </c>
      <c r="AB27" s="2">
        <f t="shared" si="2"/>
        <v>-15.247098129045673</v>
      </c>
      <c r="AC27" s="3">
        <f t="shared" si="3"/>
        <v>2.3892930373469504E-7</v>
      </c>
      <c r="AD27" s="13">
        <f t="shared" si="4"/>
        <v>0.9999999764952151</v>
      </c>
      <c r="AE27" s="2">
        <f t="shared" si="5"/>
        <v>-1.0207998498715786E-8</v>
      </c>
    </row>
    <row r="28" spans="2:31" x14ac:dyDescent="0.25">
      <c r="B28" s="18" t="s">
        <v>37</v>
      </c>
      <c r="C28" s="18" t="s">
        <v>38</v>
      </c>
      <c r="D28" s="15">
        <v>0</v>
      </c>
      <c r="E28" s="15">
        <v>1</v>
      </c>
      <c r="F28" s="15">
        <v>1</v>
      </c>
      <c r="G28" s="15">
        <v>0</v>
      </c>
      <c r="H28" s="16">
        <v>1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16">
        <f>F28</f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16">
        <f>G28</f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16">
        <f>H28</f>
        <v>1</v>
      </c>
      <c r="AB28" s="2">
        <f t="shared" si="2"/>
        <v>-32.813159934463421</v>
      </c>
      <c r="AC28" s="3">
        <f t="shared" si="3"/>
        <v>5.6159819935814702E-15</v>
      </c>
      <c r="AD28" s="13">
        <f t="shared" si="4"/>
        <v>2.3504784778575998E-8</v>
      </c>
      <c r="AE28" s="2">
        <f t="shared" si="5"/>
        <v>0</v>
      </c>
    </row>
    <row r="29" spans="2:31" x14ac:dyDescent="0.25">
      <c r="B29" s="18" t="s">
        <v>39</v>
      </c>
      <c r="C29" s="18" t="s">
        <v>39</v>
      </c>
      <c r="D29" s="15">
        <v>0</v>
      </c>
      <c r="E29" s="15">
        <v>1</v>
      </c>
      <c r="F29" s="15">
        <v>0</v>
      </c>
      <c r="G29" s="15">
        <v>1</v>
      </c>
      <c r="H29" s="16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16">
        <f>F29</f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16">
        <f>G29</f>
        <v>1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16">
        <f>H29</f>
        <v>0</v>
      </c>
      <c r="AB29" s="2">
        <f t="shared" si="2"/>
        <v>-15.247098129045673</v>
      </c>
      <c r="AC29" s="3">
        <f t="shared" si="3"/>
        <v>2.3892930373469504E-7</v>
      </c>
      <c r="AD29" s="13">
        <f t="shared" si="4"/>
        <v>0.98758260940472142</v>
      </c>
      <c r="AE29" s="2">
        <f t="shared" si="5"/>
        <v>0</v>
      </c>
    </row>
    <row r="30" spans="2:31" x14ac:dyDescent="0.25">
      <c r="B30" s="18" t="s">
        <v>39</v>
      </c>
      <c r="C30" s="18" t="s">
        <v>40</v>
      </c>
      <c r="D30" s="15">
        <v>1</v>
      </c>
      <c r="E30" s="15">
        <v>1</v>
      </c>
      <c r="F30" s="15">
        <v>1</v>
      </c>
      <c r="G30" s="15">
        <v>0</v>
      </c>
      <c r="H30" s="16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16">
        <f>F30</f>
        <v>1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16">
        <f>G30</f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16">
        <f>H30</f>
        <v>0</v>
      </c>
      <c r="AB30" s="2">
        <f t="shared" si="2"/>
        <v>-19.623260319982084</v>
      </c>
      <c r="AC30" s="3">
        <f t="shared" si="3"/>
        <v>3.0041825978689398E-9</v>
      </c>
      <c r="AD30" s="13">
        <f t="shared" si="4"/>
        <v>1.2417390595278584E-2</v>
      </c>
      <c r="AE30" s="2">
        <f t="shared" si="5"/>
        <v>-1.9059696577129377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One_UR</vt:lpstr>
      <vt:lpstr>Simple_Listing</vt:lpstr>
      <vt:lpstr>URCs_notes</vt:lpstr>
      <vt:lpstr>URCs</vt:lpstr>
      <vt:lpstr>RST</vt:lpstr>
      <vt:lpstr>Indexed_Cs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Moore-Cantwell, Claire</cp:lastModifiedBy>
  <cp:revision>6</cp:revision>
  <dcterms:created xsi:type="dcterms:W3CDTF">2023-01-11T12:14:16Z</dcterms:created>
  <dcterms:modified xsi:type="dcterms:W3CDTF">2024-07-16T21:52:37Z</dcterms:modified>
  <dc:language>en-US</dc:language>
</cp:coreProperties>
</file>